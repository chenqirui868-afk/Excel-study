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104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3" i="1"/>
  <c r="K4" i="1"/>
  <c r="K5" i="1"/>
  <c r="K6" i="1"/>
  <c r="K7" i="1"/>
  <c r="K3" i="1"/>
  <c r="G3" i="1"/>
  <c r="I4" i="1"/>
  <c r="I5" i="1"/>
  <c r="I6" i="1"/>
  <c r="I7" i="1"/>
  <c r="I3" i="1"/>
  <c r="G5" i="1"/>
  <c r="G6" i="1"/>
  <c r="G7" i="1"/>
  <c r="G4" i="1"/>
  <c r="B8" i="1"/>
  <c r="B6" i="1"/>
  <c r="B5" i="1"/>
</calcChain>
</file>

<file path=xl/sharedStrings.xml><?xml version="1.0" encoding="utf-8"?>
<sst xmlns="http://schemas.openxmlformats.org/spreadsheetml/2006/main" count="18" uniqueCount="17">
  <si>
    <t>Gym Demo Data</t>
    <phoneticPr fontId="1" type="noConversion"/>
  </si>
  <si>
    <t>Men</t>
    <phoneticPr fontId="1" type="noConversion"/>
  </si>
  <si>
    <t>Ladies</t>
    <phoneticPr fontId="1" type="noConversion"/>
  </si>
  <si>
    <t>Total</t>
    <phoneticPr fontId="1" type="noConversion"/>
  </si>
  <si>
    <t>Difference</t>
    <phoneticPr fontId="1" type="noConversion"/>
  </si>
  <si>
    <t>Towels/Member</t>
    <phoneticPr fontId="1" type="noConversion"/>
  </si>
  <si>
    <t>Towels Needed</t>
    <phoneticPr fontId="1" type="noConversion"/>
  </si>
  <si>
    <t>Memebers/Instructors</t>
    <phoneticPr fontId="1" type="noConversion"/>
  </si>
  <si>
    <t>Instructors Needed</t>
    <phoneticPr fontId="1" type="noConversion"/>
  </si>
  <si>
    <t>Cost Price</t>
    <phoneticPr fontId="1" type="noConversion"/>
  </si>
  <si>
    <t>Retail Price</t>
    <phoneticPr fontId="1" type="noConversion"/>
  </si>
  <si>
    <t>Profit Margin</t>
    <phoneticPr fontId="1" type="noConversion"/>
  </si>
  <si>
    <t>Order Quantity</t>
    <phoneticPr fontId="1" type="noConversion"/>
  </si>
  <si>
    <t>Sub Total</t>
    <phoneticPr fontId="1" type="noConversion"/>
  </si>
  <si>
    <t>Discount$</t>
    <phoneticPr fontId="1" type="noConversion"/>
  </si>
  <si>
    <t>Discount%</t>
    <phoneticPr fontId="1" type="noConversion"/>
  </si>
  <si>
    <t>Shipping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</si>
</sst>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26" formatCode="\$#,##0.00_);[Red]\(\$#,##0.00\)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theme="8" tint="-0.249977111117893"/>
      <name val="Noto Sans SC Black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26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topLeftCell="E1" zoomScale="200" zoomScaleNormal="200" workbookViewId="0">
      <selection activeCell="M3" sqref="M3:M7"/>
    </sheetView>
  </sheetViews>
  <sheetFormatPr defaultRowHeight="13.8" x14ac:dyDescent="0.25"/>
  <cols>
    <col min="1" max="1" width="30.88671875" bestFit="1" customWidth="1"/>
    <col min="5" max="5" width="9.5546875" customWidth="1"/>
    <col min="6" max="6" width="10.21875" customWidth="1"/>
    <col min="7" max="7" width="12.33203125" customWidth="1"/>
    <col min="8" max="8" width="13.44140625" customWidth="1"/>
    <col min="10" max="10" width="9.33203125" customWidth="1"/>
    <col min="11" max="11" width="9.77734375" customWidth="1"/>
    <col min="12" max="12" width="12.88671875" customWidth="1"/>
  </cols>
  <sheetData>
    <row r="1" spans="1:13" ht="30" x14ac:dyDescent="0.25">
      <c r="A1" s="1" t="s">
        <v>0</v>
      </c>
    </row>
    <row r="2" spans="1:13" x14ac:dyDescent="0.25"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15</v>
      </c>
      <c r="K2" t="s">
        <v>14</v>
      </c>
      <c r="L2" t="s">
        <v>16</v>
      </c>
      <c r="M2" t="s">
        <v>3</v>
      </c>
    </row>
    <row r="3" spans="1:13" x14ac:dyDescent="0.25">
      <c r="A3" t="s">
        <v>1</v>
      </c>
      <c r="B3">
        <v>20</v>
      </c>
      <c r="E3" s="2">
        <v>1.87</v>
      </c>
      <c r="F3" s="2">
        <v>2.23</v>
      </c>
      <c r="G3" s="2">
        <f>F3-E3</f>
        <v>0.35999999999999988</v>
      </c>
      <c r="H3">
        <v>41</v>
      </c>
      <c r="I3" s="2">
        <f>F3*H3</f>
        <v>91.429999999999993</v>
      </c>
      <c r="J3" s="3">
        <v>0.06</v>
      </c>
      <c r="K3" s="2">
        <f>I3*J3</f>
        <v>5.4857999999999993</v>
      </c>
      <c r="L3" s="2">
        <v>2.83</v>
      </c>
      <c r="M3" s="2">
        <f>I3-K3+L3</f>
        <v>88.774199999999993</v>
      </c>
    </row>
    <row r="4" spans="1:13" x14ac:dyDescent="0.25">
      <c r="A4" t="s">
        <v>2</v>
      </c>
      <c r="B4">
        <v>10</v>
      </c>
      <c r="E4" s="2">
        <v>3.47</v>
      </c>
      <c r="F4" s="2">
        <v>6.68</v>
      </c>
      <c r="G4" s="2">
        <f>F4-E4</f>
        <v>3.2099999999999995</v>
      </c>
      <c r="H4">
        <v>2</v>
      </c>
      <c r="I4" s="2">
        <f t="shared" ref="I4:I7" si="0">F4*H4</f>
        <v>13.36</v>
      </c>
      <c r="J4" s="3">
        <v>0.01</v>
      </c>
      <c r="K4" s="2">
        <f t="shared" ref="K4:K7" si="1">I4*J4</f>
        <v>0.1336</v>
      </c>
      <c r="L4" s="2">
        <v>1.5</v>
      </c>
      <c r="M4" s="2">
        <f t="shared" ref="M4:M7" si="2">I4-K4+L4</f>
        <v>14.7264</v>
      </c>
    </row>
    <row r="5" spans="1:13" x14ac:dyDescent="0.25">
      <c r="A5" t="s">
        <v>3</v>
      </c>
      <c r="B5">
        <f>B3+B4</f>
        <v>30</v>
      </c>
      <c r="E5" s="2">
        <v>3.32</v>
      </c>
      <c r="F5" s="2">
        <v>5.18</v>
      </c>
      <c r="G5" s="2">
        <f t="shared" ref="G5:G7" si="3">F5-E5</f>
        <v>1.8599999999999999</v>
      </c>
      <c r="H5">
        <v>1</v>
      </c>
      <c r="I5" s="2">
        <f t="shared" si="0"/>
        <v>5.18</v>
      </c>
      <c r="J5" s="3">
        <v>0.02</v>
      </c>
      <c r="K5" s="2">
        <f t="shared" si="1"/>
        <v>0.1036</v>
      </c>
      <c r="L5" s="2">
        <v>2.04</v>
      </c>
      <c r="M5" s="2">
        <f t="shared" si="2"/>
        <v>7.1163999999999996</v>
      </c>
    </row>
    <row r="6" spans="1:13" x14ac:dyDescent="0.25">
      <c r="A6" t="s">
        <v>4</v>
      </c>
      <c r="B6">
        <f>B3-B4</f>
        <v>10</v>
      </c>
      <c r="E6" s="2">
        <v>2.98</v>
      </c>
      <c r="F6" s="2">
        <v>5.84</v>
      </c>
      <c r="G6" s="2">
        <f t="shared" si="3"/>
        <v>2.86</v>
      </c>
      <c r="H6">
        <v>4</v>
      </c>
      <c r="I6" s="2">
        <f t="shared" si="0"/>
        <v>23.36</v>
      </c>
      <c r="J6" s="3">
        <v>0.09</v>
      </c>
      <c r="K6" s="2">
        <f t="shared" si="1"/>
        <v>2.1023999999999998</v>
      </c>
      <c r="L6" s="2">
        <v>0.83</v>
      </c>
      <c r="M6" s="2">
        <f t="shared" si="2"/>
        <v>22.087599999999998</v>
      </c>
    </row>
    <row r="7" spans="1:13" x14ac:dyDescent="0.25">
      <c r="A7" t="s">
        <v>5</v>
      </c>
      <c r="B7">
        <v>3</v>
      </c>
      <c r="E7" s="2">
        <v>8.82</v>
      </c>
      <c r="F7" s="2">
        <v>20.99</v>
      </c>
      <c r="G7" s="2">
        <f t="shared" si="3"/>
        <v>12.169999999999998</v>
      </c>
      <c r="H7">
        <v>41</v>
      </c>
      <c r="I7" s="2">
        <f t="shared" si="0"/>
        <v>860.58999999999992</v>
      </c>
      <c r="J7" s="3">
        <v>0.02</v>
      </c>
      <c r="K7" s="2">
        <f t="shared" si="1"/>
        <v>17.2118</v>
      </c>
      <c r="L7" s="2">
        <v>4.8099999999999996</v>
      </c>
      <c r="M7" s="2">
        <f t="shared" si="2"/>
        <v>848.18819999999982</v>
      </c>
    </row>
    <row r="8" spans="1:13" x14ac:dyDescent="0.25">
      <c r="A8" t="s">
        <v>6</v>
      </c>
      <c r="B8">
        <f>B5*B7</f>
        <v>90</v>
      </c>
    </row>
    <row r="9" spans="1:13" x14ac:dyDescent="0.25">
      <c r="A9" t="s">
        <v>7</v>
      </c>
      <c r="B9">
        <v>5</v>
      </c>
    </row>
    <row r="10" spans="1:13" x14ac:dyDescent="0.25">
      <c r="A10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2026-09-10T08:18:31Z</dcterms:created>
  <dcterms:modified xsi:type="dcterms:W3CDTF">2026-09-10T08:57:16Z</dcterms:modified>
</cp:coreProperties>
</file>