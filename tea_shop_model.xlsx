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my-profile\"/>
    </mc:Choice>
  </mc:AlternateContent>
  <bookViews>
    <workbookView xWindow="0" yWindow="0" windowWidth="9192" windowHeight="2988"/>
  </bookViews>
  <sheets>
    <sheet name="Mode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11" i="1"/>
  <c r="C36" i="1"/>
  <c r="C37" i="1"/>
  <c r="C38" i="1"/>
  <c r="C39" i="1"/>
  <c r="C40" i="1"/>
  <c r="C41" i="1"/>
  <c r="C42" i="1"/>
  <c r="C43" i="1"/>
  <c r="C44" i="1"/>
  <c r="B36" i="1"/>
  <c r="B37" i="1"/>
  <c r="B38" i="1"/>
  <c r="B39" i="1"/>
  <c r="B40" i="1"/>
  <c r="B41" i="1"/>
  <c r="B42" i="1"/>
  <c r="B43" i="1"/>
  <c r="B44" i="1"/>
  <c r="B45" i="1"/>
  <c r="B46" i="1"/>
  <c r="B35" i="1"/>
  <c r="F24" i="1"/>
  <c r="G24" i="1" s="1"/>
  <c r="G12" i="1"/>
  <c r="G13" i="1"/>
  <c r="G14" i="1"/>
  <c r="F12" i="1"/>
  <c r="F13" i="1"/>
  <c r="F14" i="1"/>
  <c r="F15" i="1"/>
  <c r="G15" i="1" s="1"/>
  <c r="F16" i="1"/>
  <c r="G16" i="1" s="1"/>
  <c r="F17" i="1"/>
  <c r="G17" i="1" s="1"/>
  <c r="F20" i="1"/>
  <c r="G20" i="1" s="1"/>
  <c r="E12" i="1"/>
  <c r="E13" i="1"/>
  <c r="E14" i="1"/>
  <c r="E15" i="1"/>
  <c r="E16" i="1"/>
  <c r="E17" i="1"/>
  <c r="E18" i="1"/>
  <c r="E20" i="1"/>
  <c r="E21" i="1"/>
  <c r="E22" i="1"/>
  <c r="D12" i="1"/>
  <c r="D13" i="1"/>
  <c r="D14" i="1"/>
  <c r="D15" i="1"/>
  <c r="D16" i="1"/>
  <c r="D17" i="1"/>
  <c r="D18" i="1"/>
  <c r="F18" i="1" s="1"/>
  <c r="G18" i="1" s="1"/>
  <c r="D19" i="1"/>
  <c r="E19" i="1" s="1"/>
  <c r="D20" i="1"/>
  <c r="D21" i="1"/>
  <c r="F21" i="1" s="1"/>
  <c r="G21" i="1" s="1"/>
  <c r="D22" i="1"/>
  <c r="F22" i="1" s="1"/>
  <c r="G22" i="1" s="1"/>
  <c r="D11" i="1"/>
  <c r="E11" i="1" s="1"/>
  <c r="C12" i="1"/>
  <c r="C13" i="1"/>
  <c r="C14" i="1"/>
  <c r="C15" i="1"/>
  <c r="C16" i="1"/>
  <c r="C17" i="1"/>
  <c r="C18" i="1"/>
  <c r="C19" i="1"/>
  <c r="C20" i="1"/>
  <c r="C21" i="1"/>
  <c r="C22" i="1"/>
  <c r="C11" i="1"/>
  <c r="B12" i="1"/>
  <c r="B13" i="1"/>
  <c r="B14" i="1"/>
  <c r="B15" i="1"/>
  <c r="B16" i="1"/>
  <c r="B17" i="1"/>
  <c r="B18" i="1"/>
  <c r="B19" i="1"/>
  <c r="B20" i="1"/>
  <c r="B21" i="1"/>
  <c r="B22" i="1"/>
  <c r="B11" i="1"/>
  <c r="D24" i="1"/>
  <c r="D36" i="1" s="1"/>
  <c r="D25" i="1"/>
  <c r="D37" i="1" s="1"/>
  <c r="D26" i="1"/>
  <c r="D38" i="1" s="1"/>
  <c r="D27" i="1"/>
  <c r="F27" i="1" s="1"/>
  <c r="G27" i="1" s="1"/>
  <c r="D28" i="1"/>
  <c r="E28" i="1" s="1"/>
  <c r="D29" i="1"/>
  <c r="E29" i="1" s="1"/>
  <c r="D30" i="1"/>
  <c r="F30" i="1" s="1"/>
  <c r="G30" i="1" s="1"/>
  <c r="D31" i="1"/>
  <c r="F31" i="1" s="1"/>
  <c r="G31" i="1" s="1"/>
  <c r="D32" i="1"/>
  <c r="E32" i="1" s="1"/>
  <c r="D33" i="1"/>
  <c r="F33" i="1" s="1"/>
  <c r="D34" i="1"/>
  <c r="D46" i="1" s="1"/>
  <c r="C24" i="1"/>
  <c r="C25" i="1"/>
  <c r="C26" i="1"/>
  <c r="C27" i="1"/>
  <c r="C28" i="1"/>
  <c r="C29" i="1"/>
  <c r="C30" i="1"/>
  <c r="C31" i="1"/>
  <c r="C32" i="1"/>
  <c r="C33" i="1"/>
  <c r="C45" i="1" s="1"/>
  <c r="C34" i="1"/>
  <c r="C46" i="1" s="1"/>
  <c r="B24" i="1"/>
  <c r="B25" i="1"/>
  <c r="B26" i="1"/>
  <c r="B27" i="1"/>
  <c r="B28" i="1"/>
  <c r="B29" i="1"/>
  <c r="B30" i="1"/>
  <c r="B31" i="1"/>
  <c r="B32" i="1"/>
  <c r="B33" i="1"/>
  <c r="B34" i="1"/>
  <c r="D23" i="1"/>
  <c r="F23" i="1" s="1"/>
  <c r="C23" i="1"/>
  <c r="C35" i="1" s="1"/>
  <c r="B23" i="1"/>
  <c r="B6" i="1"/>
  <c r="E34" i="1" l="1"/>
  <c r="F34" i="1"/>
  <c r="F26" i="1"/>
  <c r="G26" i="1" s="1"/>
  <c r="F25" i="1"/>
  <c r="G25" i="1" s="1"/>
  <c r="D35" i="1"/>
  <c r="F35" i="1" s="1"/>
  <c r="G35" i="1" s="1"/>
  <c r="E31" i="1"/>
  <c r="H31" i="1" s="1"/>
  <c r="J31" i="1" s="1"/>
  <c r="D45" i="1"/>
  <c r="E45" i="1" s="1"/>
  <c r="D44" i="1"/>
  <c r="E33" i="1"/>
  <c r="D41" i="1"/>
  <c r="F29" i="1"/>
  <c r="G29" i="1" s="1"/>
  <c r="E30" i="1"/>
  <c r="H30" i="1" s="1"/>
  <c r="J30" i="1" s="1"/>
  <c r="F11" i="1"/>
  <c r="G11" i="1" s="1"/>
  <c r="H11" i="1" s="1"/>
  <c r="J11" i="1" s="1"/>
  <c r="E23" i="1"/>
  <c r="E25" i="1"/>
  <c r="H25" i="1" s="1"/>
  <c r="J25" i="1" s="1"/>
  <c r="G34" i="1"/>
  <c r="H34" i="1" s="1"/>
  <c r="J34" i="1" s="1"/>
  <c r="G33" i="1"/>
  <c r="F32" i="1"/>
  <c r="G32" i="1" s="1"/>
  <c r="H32" i="1" s="1"/>
  <c r="J32" i="1" s="1"/>
  <c r="D43" i="1"/>
  <c r="D42" i="1"/>
  <c r="E27" i="1"/>
  <c r="H27" i="1" s="1"/>
  <c r="J27" i="1" s="1"/>
  <c r="E26" i="1"/>
  <c r="H26" i="1" s="1"/>
  <c r="J26" i="1" s="1"/>
  <c r="E24" i="1"/>
  <c r="H24" i="1" s="1"/>
  <c r="J24" i="1" s="1"/>
  <c r="H29" i="1"/>
  <c r="J29" i="1" s="1"/>
  <c r="G23" i="1"/>
  <c r="E38" i="1"/>
  <c r="F38" i="1"/>
  <c r="G38" i="1" s="1"/>
  <c r="E37" i="1"/>
  <c r="F37" i="1"/>
  <c r="G37" i="1" s="1"/>
  <c r="E36" i="1"/>
  <c r="F36" i="1"/>
  <c r="G36" i="1" s="1"/>
  <c r="E46" i="1"/>
  <c r="F46" i="1"/>
  <c r="G46" i="1" s="1"/>
  <c r="H13" i="1"/>
  <c r="J13" i="1" s="1"/>
  <c r="D40" i="1"/>
  <c r="F19" i="1"/>
  <c r="G19" i="1" s="1"/>
  <c r="F28" i="1"/>
  <c r="G28" i="1" s="1"/>
  <c r="H28" i="1" s="1"/>
  <c r="J28" i="1" s="1"/>
  <c r="H12" i="1"/>
  <c r="J12" i="1" s="1"/>
  <c r="D39" i="1"/>
  <c r="E35" i="1"/>
  <c r="H21" i="1"/>
  <c r="J21" i="1" s="1"/>
  <c r="H20" i="1"/>
  <c r="J20" i="1" s="1"/>
  <c r="H19" i="1"/>
  <c r="J19" i="1" s="1"/>
  <c r="H16" i="1"/>
  <c r="J16" i="1" s="1"/>
  <c r="H22" i="1"/>
  <c r="J22" i="1" s="1"/>
  <c r="H18" i="1"/>
  <c r="J18" i="1" s="1"/>
  <c r="H17" i="1"/>
  <c r="J17" i="1" s="1"/>
  <c r="H15" i="1"/>
  <c r="J15" i="1" s="1"/>
  <c r="H14" i="1"/>
  <c r="J14" i="1" s="1"/>
  <c r="H35" i="1" l="1"/>
  <c r="J35" i="1" s="1"/>
  <c r="H23" i="1"/>
  <c r="J23" i="1" s="1"/>
  <c r="E42" i="1"/>
  <c r="F42" i="1"/>
  <c r="G42" i="1" s="1"/>
  <c r="F43" i="1"/>
  <c r="G43" i="1" s="1"/>
  <c r="E43" i="1"/>
  <c r="H43" i="1" s="1"/>
  <c r="J43" i="1" s="1"/>
  <c r="F44" i="1"/>
  <c r="G44" i="1" s="1"/>
  <c r="E44" i="1"/>
  <c r="F45" i="1"/>
  <c r="G45" i="1" s="1"/>
  <c r="H45" i="1" s="1"/>
  <c r="J45" i="1" s="1"/>
  <c r="H33" i="1"/>
  <c r="J33" i="1" s="1"/>
  <c r="F41" i="1"/>
  <c r="G41" i="1" s="1"/>
  <c r="E41" i="1"/>
  <c r="H41" i="1" s="1"/>
  <c r="J41" i="1" s="1"/>
  <c r="I11" i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E39" i="1"/>
  <c r="F39" i="1"/>
  <c r="G39" i="1" s="1"/>
  <c r="H46" i="1"/>
  <c r="J46" i="1" s="1"/>
  <c r="H36" i="1"/>
  <c r="J36" i="1" s="1"/>
  <c r="H37" i="1"/>
  <c r="J37" i="1" s="1"/>
  <c r="F40" i="1"/>
  <c r="G40" i="1" s="1"/>
  <c r="E40" i="1"/>
  <c r="H40" i="1" s="1"/>
  <c r="J40" i="1" s="1"/>
  <c r="H38" i="1"/>
  <c r="J38" i="1" s="1"/>
  <c r="I23" i="1" l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H44" i="1"/>
  <c r="J44" i="1" s="1"/>
  <c r="H42" i="1"/>
  <c r="J42" i="1" s="1"/>
  <c r="H39" i="1"/>
  <c r="J39" i="1" s="1"/>
  <c r="I39" i="1" l="1"/>
  <c r="I40" i="1" s="1"/>
  <c r="I41" i="1" s="1"/>
  <c r="I42" i="1" s="1"/>
  <c r="I43" i="1" s="1"/>
  <c r="I44" i="1" s="1"/>
  <c r="I45" i="1" s="1"/>
  <c r="I46" i="1" s="1"/>
</calcChain>
</file>

<file path=xl/sharedStrings.xml><?xml version="1.0" encoding="utf-8"?>
<sst xmlns="http://schemas.openxmlformats.org/spreadsheetml/2006/main" count="55" uniqueCount="55">
  <si>
    <t>初始月租金</t>
    <phoneticPr fontId="2" type="noConversion"/>
  </si>
  <si>
    <t>初始员工薪资</t>
    <phoneticPr fontId="2" type="noConversion"/>
  </si>
  <si>
    <t>每杯原料成本</t>
    <phoneticPr fontId="2" type="noConversion"/>
  </si>
  <si>
    <t>单杯售价</t>
    <phoneticPr fontId="2" type="noConversion"/>
  </si>
  <si>
    <t>初始日均销量</t>
    <phoneticPr fontId="2" type="noConversion"/>
  </si>
  <si>
    <t>月固定成本</t>
    <phoneticPr fontId="2" type="noConversion"/>
  </si>
  <si>
    <t>年租金增长率</t>
    <phoneticPr fontId="2" type="noConversion"/>
  </si>
  <si>
    <t>年客流增长率</t>
    <phoneticPr fontId="2" type="noConversion"/>
  </si>
  <si>
    <t>月份</t>
    <phoneticPr fontId="2" type="noConversion"/>
  </si>
  <si>
    <t>月租金</t>
    <phoneticPr fontId="2" type="noConversion"/>
  </si>
  <si>
    <t>月人力</t>
    <phoneticPr fontId="2" type="noConversion"/>
  </si>
  <si>
    <t>月销量</t>
    <phoneticPr fontId="2" type="noConversion"/>
  </si>
  <si>
    <t>月收入</t>
    <phoneticPr fontId="2" type="noConversion"/>
  </si>
  <si>
    <t>月变动成本</t>
    <phoneticPr fontId="2" type="noConversion"/>
  </si>
  <si>
    <t>月总成本</t>
    <phoneticPr fontId="2" type="noConversion"/>
  </si>
  <si>
    <t>月净利润</t>
    <phoneticPr fontId="2" type="noConversion"/>
  </si>
  <si>
    <t>累计利润</t>
    <phoneticPr fontId="2" type="noConversion"/>
  </si>
  <si>
    <t>Month1</t>
    <phoneticPr fontId="2" type="noConversion"/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</si>
  <si>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</si>
  <si>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</si>
  <si>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</si>
  <si>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</si>
  <si>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</si>
  <si>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</si>
  <si>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</si>
  <si>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</si>
  <si>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</si>
  <si>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</si>
  <si>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</si>
  <si>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Month13</t>
  </si>
  <si>
    <t>Month14</t>
  </si>
  <si>
    <t>Month15</t>
  </si>
  <si>
    <t>Month16</t>
  </si>
  <si>
    <t>Month17</t>
  </si>
  <si>
    <t>Month18</t>
  </si>
  <si>
    <t>Month19</t>
  </si>
  <si>
    <t>Month20</t>
  </si>
  <si>
    <t>Month21</t>
  </si>
  <si>
    <t>Month22</t>
  </si>
  <si>
    <t>Month23</t>
  </si>
  <si>
    <t>Month24</t>
  </si>
  <si>
    <t>Month25</t>
  </si>
  <si>
    <t>Month26</t>
  </si>
  <si>
    <t>Month27</t>
  </si>
  <si>
    <t>Month28</t>
  </si>
  <si>
    <t>Month29</t>
  </si>
  <si>
    <t>Month30</t>
  </si>
  <si>
    <t>Month31</t>
  </si>
  <si>
    <t>Month32</t>
  </si>
  <si>
    <t>Month33</t>
  </si>
  <si>
    <t>Month34</t>
  </si>
  <si>
    <t>Month35</t>
  </si>
  <si>
    <t>Month36</t>
  </si>
  <si>
    <t>状态</t>
    <phoneticPr fontId="2" type="noConversion"/>
  </si>
  <si>
    <t>奖金提成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</si>
</sst>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22" zoomScale="130" zoomScaleNormal="130" workbookViewId="0">
      <selection activeCell="L43" sqref="L43"/>
    </sheetView>
  </sheetViews>
  <sheetFormatPr defaultRowHeight="13.8" x14ac:dyDescent="0.25"/>
  <cols>
    <col min="1" max="1" width="14.109375" customWidth="1"/>
    <col min="6" max="6" width="11" customWidth="1"/>
  </cols>
  <sheetData>
    <row r="1" spans="1:11" x14ac:dyDescent="0.25">
      <c r="A1" t="s">
        <v>0</v>
      </c>
      <c r="B1">
        <v>15000</v>
      </c>
    </row>
    <row r="2" spans="1:11" x14ac:dyDescent="0.25">
      <c r="A2" t="s">
        <v>1</v>
      </c>
      <c r="B2">
        <v>20000</v>
      </c>
    </row>
    <row r="3" spans="1:11" x14ac:dyDescent="0.25">
      <c r="A3" t="s">
        <v>2</v>
      </c>
      <c r="B3">
        <v>3</v>
      </c>
    </row>
    <row r="4" spans="1:11" x14ac:dyDescent="0.25">
      <c r="A4" t="s">
        <v>3</v>
      </c>
      <c r="B4">
        <v>13</v>
      </c>
    </row>
    <row r="5" spans="1:11" x14ac:dyDescent="0.25">
      <c r="A5" t="s">
        <v>4</v>
      </c>
      <c r="B5">
        <v>150</v>
      </c>
    </row>
    <row r="6" spans="1:11" x14ac:dyDescent="0.25">
      <c r="A6" t="s">
        <v>5</v>
      </c>
      <c r="B6">
        <f>B1+B2</f>
        <v>35000</v>
      </c>
    </row>
    <row r="7" spans="1:11" x14ac:dyDescent="0.25">
      <c r="A7" t="s">
        <v>6</v>
      </c>
      <c r="B7" s="1">
        <v>0.15</v>
      </c>
    </row>
    <row r="8" spans="1:11" x14ac:dyDescent="0.25">
      <c r="A8" t="s">
        <v>7</v>
      </c>
      <c r="B8" s="1">
        <v>-0.05</v>
      </c>
    </row>
    <row r="10" spans="1:11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53</v>
      </c>
      <c r="K10" t="s">
        <v>54</v>
      </c>
    </row>
    <row r="11" spans="1:11" x14ac:dyDescent="0.25">
      <c r="A11" t="s">
        <v>17</v>
      </c>
      <c r="B11">
        <f>$B$1</f>
        <v>15000</v>
      </c>
      <c r="C11">
        <f>$B$2</f>
        <v>20000</v>
      </c>
      <c r="D11">
        <f>$B$5*30</f>
        <v>4500</v>
      </c>
      <c r="E11">
        <f>$B$4*D11</f>
        <v>58500</v>
      </c>
      <c r="F11">
        <f>$B$3*D11</f>
        <v>13500</v>
      </c>
      <c r="G11">
        <f>B11+C11+F11</f>
        <v>48500</v>
      </c>
      <c r="H11">
        <f>E11-G11</f>
        <v>10000</v>
      </c>
      <c r="I11">
        <f>H11</f>
        <v>10000</v>
      </c>
      <c r="J11" t="str">
        <f>IF(H11&gt;50000,"优秀",IF(H11&gt;0,"盈利",IF(H11=0,"保本","亏损")))</f>
        <v>盈利</v>
      </c>
      <c r="K11">
        <f>IF(H11&lt;0,0,IF(D11&gt;4500,H11*0.05,IF(D11&gt;3500,H11*0.02,0)))</f>
        <v>200</v>
      </c>
    </row>
    <row r="12" spans="1:11" x14ac:dyDescent="0.25">
      <c r="A12" t="s">
        <v>18</v>
      </c>
      <c r="B12">
        <f t="shared" ref="B12:B22" si="0">$B$1</f>
        <v>15000</v>
      </c>
      <c r="C12">
        <f t="shared" ref="C12:C22" si="1">$B$2</f>
        <v>20000</v>
      </c>
      <c r="D12">
        <f t="shared" ref="D12:D22" si="2">$B$5*30</f>
        <v>4500</v>
      </c>
      <c r="E12">
        <f t="shared" ref="E12:E22" si="3">$B$4*D12</f>
        <v>58500</v>
      </c>
      <c r="F12">
        <f t="shared" ref="F12:F22" si="4">$B$3*D12</f>
        <v>13500</v>
      </c>
      <c r="G12">
        <f t="shared" ref="G12:G22" si="5">B12+C12+F12</f>
        <v>48500</v>
      </c>
      <c r="H12">
        <f t="shared" ref="H12:H22" si="6">E12-G12</f>
        <v>10000</v>
      </c>
      <c r="I12">
        <f>H12+I11</f>
        <v>20000</v>
      </c>
      <c r="J12" t="str">
        <f t="shared" ref="J12:J46" si="7">IF(H12&gt;50000,"优秀",IF(H12&gt;0,"盈利",IF(H12=0,"保本","亏损")))</f>
        <v>盈利</v>
      </c>
      <c r="K12">
        <f t="shared" ref="K12:K46" si="8">IF(H12&lt;0,0,IF(D12&gt;4500,H12*0.05,IF(D12&gt;3500,H12*0.02,0)))</f>
        <v>200</v>
      </c>
    </row>
    <row r="13" spans="1:11" x14ac:dyDescent="0.25">
      <c r="A13" t="s">
        <v>19</v>
      </c>
      <c r="B13">
        <f t="shared" si="0"/>
        <v>15000</v>
      </c>
      <c r="C13">
        <f t="shared" si="1"/>
        <v>20000</v>
      </c>
      <c r="D13">
        <f t="shared" si="2"/>
        <v>4500</v>
      </c>
      <c r="E13">
        <f t="shared" si="3"/>
        <v>58500</v>
      </c>
      <c r="F13">
        <f t="shared" si="4"/>
        <v>13500</v>
      </c>
      <c r="G13">
        <f t="shared" si="5"/>
        <v>48500</v>
      </c>
      <c r="H13">
        <f t="shared" si="6"/>
        <v>10000</v>
      </c>
      <c r="I13">
        <f t="shared" ref="I13:I46" si="9">H13+I12</f>
        <v>30000</v>
      </c>
      <c r="J13" t="str">
        <f t="shared" si="7"/>
        <v>盈利</v>
      </c>
      <c r="K13">
        <f t="shared" si="8"/>
        <v>200</v>
      </c>
    </row>
    <row r="14" spans="1:11" x14ac:dyDescent="0.25">
      <c r="A14" t="s">
        <v>20</v>
      </c>
      <c r="B14">
        <f t="shared" si="0"/>
        <v>15000</v>
      </c>
      <c r="C14">
        <f t="shared" si="1"/>
        <v>20000</v>
      </c>
      <c r="D14">
        <f t="shared" si="2"/>
        <v>4500</v>
      </c>
      <c r="E14">
        <f t="shared" si="3"/>
        <v>58500</v>
      </c>
      <c r="F14">
        <f t="shared" si="4"/>
        <v>13500</v>
      </c>
      <c r="G14">
        <f t="shared" si="5"/>
        <v>48500</v>
      </c>
      <c r="H14">
        <f t="shared" si="6"/>
        <v>10000</v>
      </c>
      <c r="I14">
        <f t="shared" si="9"/>
        <v>40000</v>
      </c>
      <c r="J14" t="str">
        <f t="shared" si="7"/>
        <v>盈利</v>
      </c>
      <c r="K14">
        <f t="shared" si="8"/>
        <v>200</v>
      </c>
    </row>
    <row r="15" spans="1:11" x14ac:dyDescent="0.25">
      <c r="A15" t="s">
        <v>21</v>
      </c>
      <c r="B15">
        <f t="shared" si="0"/>
        <v>15000</v>
      </c>
      <c r="C15">
        <f t="shared" si="1"/>
        <v>20000</v>
      </c>
      <c r="D15">
        <f t="shared" si="2"/>
        <v>4500</v>
      </c>
      <c r="E15">
        <f t="shared" si="3"/>
        <v>58500</v>
      </c>
      <c r="F15">
        <f t="shared" si="4"/>
        <v>13500</v>
      </c>
      <c r="G15">
        <f t="shared" si="5"/>
        <v>48500</v>
      </c>
      <c r="H15">
        <f t="shared" si="6"/>
        <v>10000</v>
      </c>
      <c r="I15">
        <f t="shared" si="9"/>
        <v>50000</v>
      </c>
      <c r="J15" t="str">
        <f t="shared" si="7"/>
        <v>盈利</v>
      </c>
      <c r="K15">
        <f t="shared" si="8"/>
        <v>200</v>
      </c>
    </row>
    <row r="16" spans="1:11" x14ac:dyDescent="0.25">
      <c r="A16" t="s">
        <v>22</v>
      </c>
      <c r="B16">
        <f t="shared" si="0"/>
        <v>15000</v>
      </c>
      <c r="C16">
        <f t="shared" si="1"/>
        <v>20000</v>
      </c>
      <c r="D16">
        <f t="shared" si="2"/>
        <v>4500</v>
      </c>
      <c r="E16">
        <f t="shared" si="3"/>
        <v>58500</v>
      </c>
      <c r="F16">
        <f t="shared" si="4"/>
        <v>13500</v>
      </c>
      <c r="G16">
        <f t="shared" si="5"/>
        <v>48500</v>
      </c>
      <c r="H16">
        <f t="shared" si="6"/>
        <v>10000</v>
      </c>
      <c r="I16">
        <f t="shared" si="9"/>
        <v>60000</v>
      </c>
      <c r="J16" t="str">
        <f t="shared" si="7"/>
        <v>盈利</v>
      </c>
      <c r="K16">
        <f t="shared" si="8"/>
        <v>200</v>
      </c>
    </row>
    <row r="17" spans="1:11" x14ac:dyDescent="0.25">
      <c r="A17" t="s">
        <v>23</v>
      </c>
      <c r="B17">
        <f t="shared" si="0"/>
        <v>15000</v>
      </c>
      <c r="C17">
        <f t="shared" si="1"/>
        <v>20000</v>
      </c>
      <c r="D17">
        <f t="shared" si="2"/>
        <v>4500</v>
      </c>
      <c r="E17">
        <f t="shared" si="3"/>
        <v>58500</v>
      </c>
      <c r="F17">
        <f t="shared" si="4"/>
        <v>13500</v>
      </c>
      <c r="G17">
        <f t="shared" si="5"/>
        <v>48500</v>
      </c>
      <c r="H17">
        <f t="shared" si="6"/>
        <v>10000</v>
      </c>
      <c r="I17">
        <f t="shared" si="9"/>
        <v>70000</v>
      </c>
      <c r="J17" t="str">
        <f t="shared" si="7"/>
        <v>盈利</v>
      </c>
      <c r="K17">
        <f t="shared" si="8"/>
        <v>200</v>
      </c>
    </row>
    <row r="18" spans="1:11" x14ac:dyDescent="0.25">
      <c r="A18" t="s">
        <v>24</v>
      </c>
      <c r="B18">
        <f t="shared" si="0"/>
        <v>15000</v>
      </c>
      <c r="C18">
        <f t="shared" si="1"/>
        <v>20000</v>
      </c>
      <c r="D18">
        <f t="shared" si="2"/>
        <v>4500</v>
      </c>
      <c r="E18">
        <f t="shared" si="3"/>
        <v>58500</v>
      </c>
      <c r="F18">
        <f t="shared" si="4"/>
        <v>13500</v>
      </c>
      <c r="G18">
        <f t="shared" si="5"/>
        <v>48500</v>
      </c>
      <c r="H18">
        <f t="shared" si="6"/>
        <v>10000</v>
      </c>
      <c r="I18">
        <f t="shared" si="9"/>
        <v>80000</v>
      </c>
      <c r="J18" t="str">
        <f t="shared" si="7"/>
        <v>盈利</v>
      </c>
      <c r="K18">
        <f t="shared" si="8"/>
        <v>200</v>
      </c>
    </row>
    <row r="19" spans="1:11" x14ac:dyDescent="0.25">
      <c r="A19" t="s">
        <v>25</v>
      </c>
      <c r="B19">
        <f t="shared" si="0"/>
        <v>15000</v>
      </c>
      <c r="C19">
        <f t="shared" si="1"/>
        <v>20000</v>
      </c>
      <c r="D19">
        <f t="shared" si="2"/>
        <v>4500</v>
      </c>
      <c r="E19">
        <f t="shared" si="3"/>
        <v>58500</v>
      </c>
      <c r="F19">
        <f t="shared" si="4"/>
        <v>13500</v>
      </c>
      <c r="G19">
        <f t="shared" si="5"/>
        <v>48500</v>
      </c>
      <c r="H19">
        <f t="shared" si="6"/>
        <v>10000</v>
      </c>
      <c r="I19">
        <f t="shared" si="9"/>
        <v>90000</v>
      </c>
      <c r="J19" t="str">
        <f t="shared" si="7"/>
        <v>盈利</v>
      </c>
      <c r="K19">
        <f t="shared" si="8"/>
        <v>200</v>
      </c>
    </row>
    <row r="20" spans="1:11" x14ac:dyDescent="0.25">
      <c r="A20" t="s">
        <v>26</v>
      </c>
      <c r="B20">
        <f t="shared" si="0"/>
        <v>15000</v>
      </c>
      <c r="C20">
        <f t="shared" si="1"/>
        <v>20000</v>
      </c>
      <c r="D20">
        <f t="shared" si="2"/>
        <v>4500</v>
      </c>
      <c r="E20">
        <f t="shared" si="3"/>
        <v>58500</v>
      </c>
      <c r="F20">
        <f t="shared" si="4"/>
        <v>13500</v>
      </c>
      <c r="G20">
        <f t="shared" si="5"/>
        <v>48500</v>
      </c>
      <c r="H20">
        <f t="shared" si="6"/>
        <v>10000</v>
      </c>
      <c r="I20">
        <f t="shared" si="9"/>
        <v>100000</v>
      </c>
      <c r="J20" t="str">
        <f t="shared" si="7"/>
        <v>盈利</v>
      </c>
      <c r="K20">
        <f t="shared" si="8"/>
        <v>200</v>
      </c>
    </row>
    <row r="21" spans="1:11" x14ac:dyDescent="0.25">
      <c r="A21" t="s">
        <v>27</v>
      </c>
      <c r="B21">
        <f t="shared" si="0"/>
        <v>15000</v>
      </c>
      <c r="C21">
        <f t="shared" si="1"/>
        <v>20000</v>
      </c>
      <c r="D21">
        <f t="shared" si="2"/>
        <v>4500</v>
      </c>
      <c r="E21">
        <f t="shared" si="3"/>
        <v>58500</v>
      </c>
      <c r="F21">
        <f t="shared" si="4"/>
        <v>13500</v>
      </c>
      <c r="G21">
        <f t="shared" si="5"/>
        <v>48500</v>
      </c>
      <c r="H21">
        <f t="shared" si="6"/>
        <v>10000</v>
      </c>
      <c r="I21">
        <f t="shared" si="9"/>
        <v>110000</v>
      </c>
      <c r="J21" t="str">
        <f t="shared" si="7"/>
        <v>盈利</v>
      </c>
      <c r="K21">
        <f t="shared" si="8"/>
        <v>200</v>
      </c>
    </row>
    <row r="22" spans="1:11" x14ac:dyDescent="0.25">
      <c r="A22" t="s">
        <v>28</v>
      </c>
      <c r="B22">
        <f t="shared" si="0"/>
        <v>15000</v>
      </c>
      <c r="C22">
        <f t="shared" si="1"/>
        <v>20000</v>
      </c>
      <c r="D22">
        <f t="shared" si="2"/>
        <v>4500</v>
      </c>
      <c r="E22">
        <f t="shared" si="3"/>
        <v>58500</v>
      </c>
      <c r="F22">
        <f t="shared" si="4"/>
        <v>13500</v>
      </c>
      <c r="G22">
        <f t="shared" si="5"/>
        <v>48500</v>
      </c>
      <c r="H22">
        <f t="shared" si="6"/>
        <v>10000</v>
      </c>
      <c r="I22">
        <f t="shared" si="9"/>
        <v>120000</v>
      </c>
      <c r="J22" t="str">
        <f t="shared" si="7"/>
        <v>盈利</v>
      </c>
      <c r="K22">
        <f t="shared" si="8"/>
        <v>200</v>
      </c>
    </row>
    <row r="23" spans="1:11" x14ac:dyDescent="0.25">
      <c r="A23" t="s">
        <v>29</v>
      </c>
      <c r="B23">
        <f>$B$1*(1+$B$7)</f>
        <v>17250</v>
      </c>
      <c r="C23">
        <f>$B$2*(1+$B$7)</f>
        <v>23000</v>
      </c>
      <c r="D23">
        <f>$B$5*30*(1+$B$8)</f>
        <v>4275</v>
      </c>
      <c r="E23">
        <f>$B$4*D23</f>
        <v>55575</v>
      </c>
      <c r="F23">
        <f>$B$3*D23</f>
        <v>12825</v>
      </c>
      <c r="G23">
        <f>B23+C23+F23</f>
        <v>53075</v>
      </c>
      <c r="H23">
        <f>E23-G23</f>
        <v>2500</v>
      </c>
      <c r="I23">
        <f t="shared" si="9"/>
        <v>122500</v>
      </c>
      <c r="J23" t="str">
        <f t="shared" si="7"/>
        <v>盈利</v>
      </c>
      <c r="K23">
        <f t="shared" si="8"/>
        <v>50</v>
      </c>
    </row>
    <row r="24" spans="1:11" x14ac:dyDescent="0.25">
      <c r="A24" t="s">
        <v>30</v>
      </c>
      <c r="B24">
        <f t="shared" ref="B24:B34" si="10">$B$1*(1+$B$7)</f>
        <v>17250</v>
      </c>
      <c r="C24">
        <f t="shared" ref="C24:C34" si="11">$B$2*(1+$B$7)</f>
        <v>23000</v>
      </c>
      <c r="D24">
        <f t="shared" ref="D24:D34" si="12">$B$5*30*(1+$B$8)</f>
        <v>4275</v>
      </c>
      <c r="E24">
        <f t="shared" ref="E24:E46" si="13">$B$4*D24</f>
        <v>55575</v>
      </c>
      <c r="F24">
        <f t="shared" ref="F24:F46" si="14">$B$3*D24</f>
        <v>12825</v>
      </c>
      <c r="G24">
        <f t="shared" ref="G24:G46" si="15">B24+C24+F24</f>
        <v>53075</v>
      </c>
      <c r="H24">
        <f t="shared" ref="H24:H46" si="16">E24-G24</f>
        <v>2500</v>
      </c>
      <c r="I24">
        <f t="shared" si="9"/>
        <v>125000</v>
      </c>
      <c r="J24" t="str">
        <f t="shared" si="7"/>
        <v>盈利</v>
      </c>
      <c r="K24">
        <f t="shared" si="8"/>
        <v>50</v>
      </c>
    </row>
    <row r="25" spans="1:11" x14ac:dyDescent="0.25">
      <c r="A25" t="s">
        <v>31</v>
      </c>
      <c r="B25">
        <f t="shared" si="10"/>
        <v>17250</v>
      </c>
      <c r="C25">
        <f t="shared" si="11"/>
        <v>23000</v>
      </c>
      <c r="D25">
        <f t="shared" si="12"/>
        <v>4275</v>
      </c>
      <c r="E25">
        <f t="shared" si="13"/>
        <v>55575</v>
      </c>
      <c r="F25">
        <f t="shared" si="14"/>
        <v>12825</v>
      </c>
      <c r="G25">
        <f t="shared" si="15"/>
        <v>53075</v>
      </c>
      <c r="H25">
        <f t="shared" si="16"/>
        <v>2500</v>
      </c>
      <c r="I25">
        <f t="shared" si="9"/>
        <v>127500</v>
      </c>
      <c r="J25" t="str">
        <f t="shared" si="7"/>
        <v>盈利</v>
      </c>
      <c r="K25">
        <f t="shared" si="8"/>
        <v>50</v>
      </c>
    </row>
    <row r="26" spans="1:11" x14ac:dyDescent="0.25">
      <c r="A26" t="s">
        <v>32</v>
      </c>
      <c r="B26">
        <f t="shared" si="10"/>
        <v>17250</v>
      </c>
      <c r="C26">
        <f t="shared" si="11"/>
        <v>23000</v>
      </c>
      <c r="D26">
        <f t="shared" si="12"/>
        <v>4275</v>
      </c>
      <c r="E26">
        <f t="shared" si="13"/>
        <v>55575</v>
      </c>
      <c r="F26">
        <f t="shared" si="14"/>
        <v>12825</v>
      </c>
      <c r="G26">
        <f t="shared" si="15"/>
        <v>53075</v>
      </c>
      <c r="H26">
        <f t="shared" si="16"/>
        <v>2500</v>
      </c>
      <c r="I26">
        <f t="shared" si="9"/>
        <v>130000</v>
      </c>
      <c r="J26" t="str">
        <f t="shared" si="7"/>
        <v>盈利</v>
      </c>
      <c r="K26">
        <f t="shared" si="8"/>
        <v>50</v>
      </c>
    </row>
    <row r="27" spans="1:11" x14ac:dyDescent="0.25">
      <c r="A27" t="s">
        <v>33</v>
      </c>
      <c r="B27">
        <f t="shared" si="10"/>
        <v>17250</v>
      </c>
      <c r="C27">
        <f t="shared" si="11"/>
        <v>23000</v>
      </c>
      <c r="D27">
        <f t="shared" si="12"/>
        <v>4275</v>
      </c>
      <c r="E27">
        <f t="shared" si="13"/>
        <v>55575</v>
      </c>
      <c r="F27">
        <f t="shared" si="14"/>
        <v>12825</v>
      </c>
      <c r="G27">
        <f t="shared" si="15"/>
        <v>53075</v>
      </c>
      <c r="H27">
        <f t="shared" si="16"/>
        <v>2500</v>
      </c>
      <c r="I27">
        <f t="shared" si="9"/>
        <v>132500</v>
      </c>
      <c r="J27" t="str">
        <f t="shared" si="7"/>
        <v>盈利</v>
      </c>
      <c r="K27">
        <f t="shared" si="8"/>
        <v>50</v>
      </c>
    </row>
    <row r="28" spans="1:11" x14ac:dyDescent="0.25">
      <c r="A28" t="s">
        <v>34</v>
      </c>
      <c r="B28">
        <f t="shared" si="10"/>
        <v>17250</v>
      </c>
      <c r="C28">
        <f t="shared" si="11"/>
        <v>23000</v>
      </c>
      <c r="D28">
        <f t="shared" si="12"/>
        <v>4275</v>
      </c>
      <c r="E28">
        <f t="shared" si="13"/>
        <v>55575</v>
      </c>
      <c r="F28">
        <f t="shared" si="14"/>
        <v>12825</v>
      </c>
      <c r="G28">
        <f t="shared" si="15"/>
        <v>53075</v>
      </c>
      <c r="H28">
        <f t="shared" si="16"/>
        <v>2500</v>
      </c>
      <c r="I28">
        <f t="shared" si="9"/>
        <v>135000</v>
      </c>
      <c r="J28" t="str">
        <f t="shared" si="7"/>
        <v>盈利</v>
      </c>
      <c r="K28">
        <f t="shared" si="8"/>
        <v>50</v>
      </c>
    </row>
    <row r="29" spans="1:11" x14ac:dyDescent="0.25">
      <c r="A29" t="s">
        <v>35</v>
      </c>
      <c r="B29">
        <f t="shared" si="10"/>
        <v>17250</v>
      </c>
      <c r="C29">
        <f t="shared" si="11"/>
        <v>23000</v>
      </c>
      <c r="D29">
        <f t="shared" si="12"/>
        <v>4275</v>
      </c>
      <c r="E29">
        <f t="shared" si="13"/>
        <v>55575</v>
      </c>
      <c r="F29">
        <f t="shared" si="14"/>
        <v>12825</v>
      </c>
      <c r="G29">
        <f t="shared" si="15"/>
        <v>53075</v>
      </c>
      <c r="H29">
        <f t="shared" si="16"/>
        <v>2500</v>
      </c>
      <c r="I29">
        <f t="shared" si="9"/>
        <v>137500</v>
      </c>
      <c r="J29" t="str">
        <f t="shared" si="7"/>
        <v>盈利</v>
      </c>
      <c r="K29">
        <f t="shared" si="8"/>
        <v>50</v>
      </c>
    </row>
    <row r="30" spans="1:11" x14ac:dyDescent="0.25">
      <c r="A30" t="s">
        <v>36</v>
      </c>
      <c r="B30">
        <f t="shared" si="10"/>
        <v>17250</v>
      </c>
      <c r="C30">
        <f t="shared" si="11"/>
        <v>23000</v>
      </c>
      <c r="D30">
        <f t="shared" si="12"/>
        <v>4275</v>
      </c>
      <c r="E30">
        <f t="shared" si="13"/>
        <v>55575</v>
      </c>
      <c r="F30">
        <f t="shared" si="14"/>
        <v>12825</v>
      </c>
      <c r="G30">
        <f t="shared" si="15"/>
        <v>53075</v>
      </c>
      <c r="H30">
        <f t="shared" si="16"/>
        <v>2500</v>
      </c>
      <c r="I30">
        <f t="shared" si="9"/>
        <v>140000</v>
      </c>
      <c r="J30" t="str">
        <f t="shared" si="7"/>
        <v>盈利</v>
      </c>
      <c r="K30">
        <f t="shared" si="8"/>
        <v>50</v>
      </c>
    </row>
    <row r="31" spans="1:11" x14ac:dyDescent="0.25">
      <c r="A31" t="s">
        <v>37</v>
      </c>
      <c r="B31">
        <f t="shared" si="10"/>
        <v>17250</v>
      </c>
      <c r="C31">
        <f t="shared" si="11"/>
        <v>23000</v>
      </c>
      <c r="D31">
        <f t="shared" si="12"/>
        <v>4275</v>
      </c>
      <c r="E31">
        <f t="shared" si="13"/>
        <v>55575</v>
      </c>
      <c r="F31">
        <f t="shared" si="14"/>
        <v>12825</v>
      </c>
      <c r="G31">
        <f t="shared" si="15"/>
        <v>53075</v>
      </c>
      <c r="H31">
        <f t="shared" si="16"/>
        <v>2500</v>
      </c>
      <c r="I31">
        <f t="shared" si="9"/>
        <v>142500</v>
      </c>
      <c r="J31" t="str">
        <f t="shared" si="7"/>
        <v>盈利</v>
      </c>
      <c r="K31">
        <f t="shared" si="8"/>
        <v>50</v>
      </c>
    </row>
    <row r="32" spans="1:11" x14ac:dyDescent="0.25">
      <c r="A32" t="s">
        <v>38</v>
      </c>
      <c r="B32">
        <f t="shared" si="10"/>
        <v>17250</v>
      </c>
      <c r="C32">
        <f t="shared" si="11"/>
        <v>23000</v>
      </c>
      <c r="D32">
        <f t="shared" si="12"/>
        <v>4275</v>
      </c>
      <c r="E32">
        <f t="shared" si="13"/>
        <v>55575</v>
      </c>
      <c r="F32">
        <f t="shared" si="14"/>
        <v>12825</v>
      </c>
      <c r="G32">
        <f t="shared" si="15"/>
        <v>53075</v>
      </c>
      <c r="H32">
        <f t="shared" si="16"/>
        <v>2500</v>
      </c>
      <c r="I32">
        <f t="shared" si="9"/>
        <v>145000</v>
      </c>
      <c r="J32" t="str">
        <f t="shared" si="7"/>
        <v>盈利</v>
      </c>
      <c r="K32">
        <f t="shared" si="8"/>
        <v>50</v>
      </c>
    </row>
    <row r="33" spans="1:11" x14ac:dyDescent="0.25">
      <c r="A33" t="s">
        <v>39</v>
      </c>
      <c r="B33">
        <f t="shared" si="10"/>
        <v>17250</v>
      </c>
      <c r="C33">
        <f t="shared" si="11"/>
        <v>23000</v>
      </c>
      <c r="D33">
        <f t="shared" si="12"/>
        <v>4275</v>
      </c>
      <c r="E33">
        <f t="shared" si="13"/>
        <v>55575</v>
      </c>
      <c r="F33">
        <f t="shared" si="14"/>
        <v>12825</v>
      </c>
      <c r="G33">
        <f t="shared" si="15"/>
        <v>53075</v>
      </c>
      <c r="H33">
        <f t="shared" si="16"/>
        <v>2500</v>
      </c>
      <c r="I33">
        <f t="shared" si="9"/>
        <v>147500</v>
      </c>
      <c r="J33" t="str">
        <f t="shared" si="7"/>
        <v>盈利</v>
      </c>
      <c r="K33">
        <f t="shared" si="8"/>
        <v>50</v>
      </c>
    </row>
    <row r="34" spans="1:11" x14ac:dyDescent="0.25">
      <c r="A34" t="s">
        <v>40</v>
      </c>
      <c r="B34">
        <f t="shared" si="10"/>
        <v>17250</v>
      </c>
      <c r="C34">
        <f t="shared" si="11"/>
        <v>23000</v>
      </c>
      <c r="D34">
        <f t="shared" si="12"/>
        <v>4275</v>
      </c>
      <c r="E34">
        <f t="shared" si="13"/>
        <v>55575</v>
      </c>
      <c r="F34">
        <f t="shared" si="14"/>
        <v>12825</v>
      </c>
      <c r="G34">
        <f t="shared" si="15"/>
        <v>53075</v>
      </c>
      <c r="H34">
        <f t="shared" si="16"/>
        <v>2500</v>
      </c>
      <c r="I34">
        <f t="shared" si="9"/>
        <v>150000</v>
      </c>
      <c r="J34" t="str">
        <f t="shared" si="7"/>
        <v>盈利</v>
      </c>
      <c r="K34">
        <f t="shared" si="8"/>
        <v>50</v>
      </c>
    </row>
    <row r="35" spans="1:11" x14ac:dyDescent="0.25">
      <c r="A35" t="s">
        <v>41</v>
      </c>
      <c r="B35">
        <f>$B$23*(1+$B$7)</f>
        <v>19837.5</v>
      </c>
      <c r="C35">
        <f>C23*(1+$B$7)</f>
        <v>26449.999999999996</v>
      </c>
      <c r="D35">
        <f>D23*(1+$B$8)</f>
        <v>4061.25</v>
      </c>
      <c r="E35">
        <f t="shared" si="13"/>
        <v>52796.25</v>
      </c>
      <c r="F35">
        <f t="shared" si="14"/>
        <v>12183.75</v>
      </c>
      <c r="G35">
        <f t="shared" si="15"/>
        <v>58471.25</v>
      </c>
      <c r="H35">
        <f t="shared" si="16"/>
        <v>-5675</v>
      </c>
      <c r="I35">
        <f t="shared" si="9"/>
        <v>144325</v>
      </c>
      <c r="J35" s="2" t="str">
        <f t="shared" si="7"/>
        <v>亏损</v>
      </c>
      <c r="K35">
        <f t="shared" si="8"/>
        <v>0</v>
      </c>
    </row>
    <row r="36" spans="1:11" x14ac:dyDescent="0.25">
      <c r="A36" t="s">
        <v>42</v>
      </c>
      <c r="B36">
        <f t="shared" ref="B36:B46" si="17">$B$23*(1+$B$7)</f>
        <v>19837.5</v>
      </c>
      <c r="C36">
        <f t="shared" ref="C36:C46" si="18">C24*(1+$B$7)</f>
        <v>26449.999999999996</v>
      </c>
      <c r="D36">
        <f t="shared" ref="D36:D46" si="19">D24*(1+$B$8)</f>
        <v>4061.25</v>
      </c>
      <c r="E36">
        <f t="shared" si="13"/>
        <v>52796.25</v>
      </c>
      <c r="F36">
        <f t="shared" si="14"/>
        <v>12183.75</v>
      </c>
      <c r="G36">
        <f t="shared" si="15"/>
        <v>58471.25</v>
      </c>
      <c r="H36">
        <f t="shared" si="16"/>
        <v>-5675</v>
      </c>
      <c r="I36">
        <f t="shared" si="9"/>
        <v>138650</v>
      </c>
      <c r="J36" s="2" t="str">
        <f t="shared" si="7"/>
        <v>亏损</v>
      </c>
      <c r="K36">
        <f t="shared" si="8"/>
        <v>0</v>
      </c>
    </row>
    <row r="37" spans="1:11" x14ac:dyDescent="0.25">
      <c r="A37" t="s">
        <v>43</v>
      </c>
      <c r="B37">
        <f t="shared" si="17"/>
        <v>19837.5</v>
      </c>
      <c r="C37">
        <f t="shared" si="18"/>
        <v>26449.999999999996</v>
      </c>
      <c r="D37">
        <f t="shared" si="19"/>
        <v>4061.25</v>
      </c>
      <c r="E37">
        <f t="shared" si="13"/>
        <v>52796.25</v>
      </c>
      <c r="F37">
        <f t="shared" si="14"/>
        <v>12183.75</v>
      </c>
      <c r="G37">
        <f t="shared" si="15"/>
        <v>58471.25</v>
      </c>
      <c r="H37">
        <f t="shared" si="16"/>
        <v>-5675</v>
      </c>
      <c r="I37">
        <f t="shared" si="9"/>
        <v>132975</v>
      </c>
      <c r="J37" s="2" t="str">
        <f t="shared" si="7"/>
        <v>亏损</v>
      </c>
      <c r="K37">
        <f t="shared" si="8"/>
        <v>0</v>
      </c>
    </row>
    <row r="38" spans="1:11" x14ac:dyDescent="0.25">
      <c r="A38" t="s">
        <v>44</v>
      </c>
      <c r="B38">
        <f t="shared" si="17"/>
        <v>19837.5</v>
      </c>
      <c r="C38">
        <f t="shared" si="18"/>
        <v>26449.999999999996</v>
      </c>
      <c r="D38">
        <f t="shared" si="19"/>
        <v>4061.25</v>
      </c>
      <c r="E38">
        <f t="shared" si="13"/>
        <v>52796.25</v>
      </c>
      <c r="F38">
        <f t="shared" si="14"/>
        <v>12183.75</v>
      </c>
      <c r="G38">
        <f t="shared" si="15"/>
        <v>58471.25</v>
      </c>
      <c r="H38">
        <f t="shared" si="16"/>
        <v>-5675</v>
      </c>
      <c r="I38">
        <f t="shared" si="9"/>
        <v>127300</v>
      </c>
      <c r="J38" s="2" t="str">
        <f t="shared" si="7"/>
        <v>亏损</v>
      </c>
      <c r="K38">
        <f t="shared" si="8"/>
        <v>0</v>
      </c>
    </row>
    <row r="39" spans="1:11" x14ac:dyDescent="0.25">
      <c r="A39" t="s">
        <v>45</v>
      </c>
      <c r="B39">
        <f t="shared" si="17"/>
        <v>19837.5</v>
      </c>
      <c r="C39">
        <f t="shared" si="18"/>
        <v>26449.999999999996</v>
      </c>
      <c r="D39">
        <f t="shared" si="19"/>
        <v>4061.25</v>
      </c>
      <c r="E39">
        <f t="shared" si="13"/>
        <v>52796.25</v>
      </c>
      <c r="F39">
        <f t="shared" si="14"/>
        <v>12183.75</v>
      </c>
      <c r="G39">
        <f t="shared" si="15"/>
        <v>58471.25</v>
      </c>
      <c r="H39">
        <f t="shared" si="16"/>
        <v>-5675</v>
      </c>
      <c r="I39">
        <f t="shared" si="9"/>
        <v>121625</v>
      </c>
      <c r="J39" s="2" t="str">
        <f t="shared" si="7"/>
        <v>亏损</v>
      </c>
      <c r="K39">
        <f t="shared" si="8"/>
        <v>0</v>
      </c>
    </row>
    <row r="40" spans="1:11" x14ac:dyDescent="0.25">
      <c r="A40" t="s">
        <v>46</v>
      </c>
      <c r="B40">
        <f t="shared" si="17"/>
        <v>19837.5</v>
      </c>
      <c r="C40">
        <f t="shared" si="18"/>
        <v>26449.999999999996</v>
      </c>
      <c r="D40">
        <f t="shared" si="19"/>
        <v>4061.25</v>
      </c>
      <c r="E40">
        <f t="shared" si="13"/>
        <v>52796.25</v>
      </c>
      <c r="F40">
        <f t="shared" si="14"/>
        <v>12183.75</v>
      </c>
      <c r="G40">
        <f t="shared" si="15"/>
        <v>58471.25</v>
      </c>
      <c r="H40">
        <f t="shared" si="16"/>
        <v>-5675</v>
      </c>
      <c r="I40">
        <f t="shared" si="9"/>
        <v>115950</v>
      </c>
      <c r="J40" s="2" t="str">
        <f t="shared" si="7"/>
        <v>亏损</v>
      </c>
      <c r="K40">
        <f t="shared" si="8"/>
        <v>0</v>
      </c>
    </row>
    <row r="41" spans="1:11" x14ac:dyDescent="0.25">
      <c r="A41" t="s">
        <v>47</v>
      </c>
      <c r="B41">
        <f t="shared" si="17"/>
        <v>19837.5</v>
      </c>
      <c r="C41">
        <f t="shared" si="18"/>
        <v>26449.999999999996</v>
      </c>
      <c r="D41">
        <f t="shared" si="19"/>
        <v>4061.25</v>
      </c>
      <c r="E41">
        <f t="shared" si="13"/>
        <v>52796.25</v>
      </c>
      <c r="F41">
        <f t="shared" si="14"/>
        <v>12183.75</v>
      </c>
      <c r="G41">
        <f t="shared" si="15"/>
        <v>58471.25</v>
      </c>
      <c r="H41">
        <f t="shared" si="16"/>
        <v>-5675</v>
      </c>
      <c r="I41">
        <f t="shared" si="9"/>
        <v>110275</v>
      </c>
      <c r="J41" s="2" t="str">
        <f t="shared" si="7"/>
        <v>亏损</v>
      </c>
      <c r="K41">
        <f t="shared" si="8"/>
        <v>0</v>
      </c>
    </row>
    <row r="42" spans="1:11" x14ac:dyDescent="0.25">
      <c r="A42" t="s">
        <v>48</v>
      </c>
      <c r="B42">
        <f t="shared" si="17"/>
        <v>19837.5</v>
      </c>
      <c r="C42">
        <f t="shared" si="18"/>
        <v>26449.999999999996</v>
      </c>
      <c r="D42">
        <f t="shared" si="19"/>
        <v>4061.25</v>
      </c>
      <c r="E42">
        <f t="shared" si="13"/>
        <v>52796.25</v>
      </c>
      <c r="F42">
        <f t="shared" si="14"/>
        <v>12183.75</v>
      </c>
      <c r="G42">
        <f t="shared" si="15"/>
        <v>58471.25</v>
      </c>
      <c r="H42">
        <f t="shared" si="16"/>
        <v>-5675</v>
      </c>
      <c r="I42">
        <f t="shared" si="9"/>
        <v>104600</v>
      </c>
      <c r="J42" s="2" t="str">
        <f t="shared" si="7"/>
        <v>亏损</v>
      </c>
      <c r="K42">
        <f t="shared" si="8"/>
        <v>0</v>
      </c>
    </row>
    <row r="43" spans="1:11" x14ac:dyDescent="0.25">
      <c r="A43" t="s">
        <v>49</v>
      </c>
      <c r="B43">
        <f t="shared" si="17"/>
        <v>19837.5</v>
      </c>
      <c r="C43">
        <f t="shared" si="18"/>
        <v>26449.999999999996</v>
      </c>
      <c r="D43">
        <f t="shared" si="19"/>
        <v>4061.25</v>
      </c>
      <c r="E43">
        <f t="shared" si="13"/>
        <v>52796.25</v>
      </c>
      <c r="F43">
        <f t="shared" si="14"/>
        <v>12183.75</v>
      </c>
      <c r="G43">
        <f t="shared" si="15"/>
        <v>58471.25</v>
      </c>
      <c r="H43">
        <f t="shared" si="16"/>
        <v>-5675</v>
      </c>
      <c r="I43">
        <f t="shared" si="9"/>
        <v>98925</v>
      </c>
      <c r="J43" s="2" t="str">
        <f t="shared" si="7"/>
        <v>亏损</v>
      </c>
      <c r="K43">
        <f t="shared" si="8"/>
        <v>0</v>
      </c>
    </row>
    <row r="44" spans="1:11" x14ac:dyDescent="0.25">
      <c r="A44" t="s">
        <v>50</v>
      </c>
      <c r="B44">
        <f t="shared" si="17"/>
        <v>19837.5</v>
      </c>
      <c r="C44">
        <f t="shared" si="18"/>
        <v>26449.999999999996</v>
      </c>
      <c r="D44">
        <f t="shared" si="19"/>
        <v>4061.25</v>
      </c>
      <c r="E44">
        <f t="shared" si="13"/>
        <v>52796.25</v>
      </c>
      <c r="F44">
        <f t="shared" si="14"/>
        <v>12183.75</v>
      </c>
      <c r="G44">
        <f t="shared" si="15"/>
        <v>58471.25</v>
      </c>
      <c r="H44">
        <f t="shared" si="16"/>
        <v>-5675</v>
      </c>
      <c r="I44">
        <f t="shared" si="9"/>
        <v>93250</v>
      </c>
      <c r="J44" s="2" t="str">
        <f t="shared" si="7"/>
        <v>亏损</v>
      </c>
      <c r="K44">
        <f t="shared" si="8"/>
        <v>0</v>
      </c>
    </row>
    <row r="45" spans="1:11" x14ac:dyDescent="0.25">
      <c r="A45" t="s">
        <v>51</v>
      </c>
      <c r="B45">
        <f t="shared" si="17"/>
        <v>19837.5</v>
      </c>
      <c r="C45">
        <f t="shared" si="18"/>
        <v>26449.999999999996</v>
      </c>
      <c r="D45">
        <f t="shared" si="19"/>
        <v>4061.25</v>
      </c>
      <c r="E45">
        <f t="shared" si="13"/>
        <v>52796.25</v>
      </c>
      <c r="F45">
        <f t="shared" si="14"/>
        <v>12183.75</v>
      </c>
      <c r="G45">
        <f t="shared" si="15"/>
        <v>58471.25</v>
      </c>
      <c r="H45">
        <f t="shared" si="16"/>
        <v>-5675</v>
      </c>
      <c r="I45">
        <f t="shared" si="9"/>
        <v>87575</v>
      </c>
      <c r="J45" s="2" t="str">
        <f t="shared" si="7"/>
        <v>亏损</v>
      </c>
      <c r="K45">
        <f t="shared" si="8"/>
        <v>0</v>
      </c>
    </row>
    <row r="46" spans="1:11" x14ac:dyDescent="0.25">
      <c r="A46" t="s">
        <v>52</v>
      </c>
      <c r="B46">
        <f t="shared" si="17"/>
        <v>19837.5</v>
      </c>
      <c r="C46">
        <f t="shared" si="18"/>
        <v>26449.999999999996</v>
      </c>
      <c r="D46">
        <f t="shared" si="19"/>
        <v>4061.25</v>
      </c>
      <c r="E46">
        <f t="shared" si="13"/>
        <v>52796.25</v>
      </c>
      <c r="F46">
        <f t="shared" si="14"/>
        <v>12183.75</v>
      </c>
      <c r="G46">
        <f t="shared" si="15"/>
        <v>58471.25</v>
      </c>
      <c r="H46">
        <f t="shared" si="16"/>
        <v>-5675</v>
      </c>
      <c r="I46">
        <f t="shared" si="9"/>
        <v>81900</v>
      </c>
      <c r="J46" s="2" t="str">
        <f t="shared" si="7"/>
        <v>亏损</v>
      </c>
      <c r="K46">
        <f t="shared" si="8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2026-09-15T08:19:32Z</dcterms:created>
  <dcterms:modified xsi:type="dcterms:W3CDTF">2026-09-15T09:05:42Z</dcterms:modified>
</cp:coreProperties>
</file>