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week 3_excel\"/>
    </mc:Choice>
  </mc:AlternateContent>
  <bookViews>
    <workbookView xWindow="0" yWindow="0" windowWidth="9192" windowHeight="2988" activeTab="1"/>
  </bookViews>
  <sheets>
    <sheet name="方案摘要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F3" i="1"/>
  <c r="F4" i="1"/>
  <c r="F5" i="1"/>
  <c r="F6" i="1"/>
  <c r="F2" i="1"/>
  <c r="G2" i="1" l="1"/>
</calcChain>
</file>

<file path=xl/sharedStrings.xml><?xml version="1.0" encoding="utf-8"?>
<sst xmlns="http://schemas.openxmlformats.org/spreadsheetml/2006/main" count="48" uniqueCount="38">
  <si>
    <t>月份</t>
    <phoneticPr fontId="1" type="noConversion"/>
  </si>
  <si>
    <t>单价</t>
    <phoneticPr fontId="1" type="noConversion"/>
  </si>
  <si>
    <t>产品</t>
    <phoneticPr fontId="1" type="noConversion"/>
  </si>
  <si>
    <t>销量</t>
    <phoneticPr fontId="1" type="noConversion"/>
  </si>
  <si>
    <t>滑轮</t>
    <phoneticPr fontId="1" type="noConversion"/>
  </si>
  <si>
    <t>成本</t>
    <phoneticPr fontId="1" type="noConversion"/>
  </si>
  <si>
    <t>销售额</t>
    <phoneticPr fontId="1" type="noConversion"/>
  </si>
  <si>
    <t>总销售额</t>
    <phoneticPr fontId="1" type="noConversion"/>
  </si>
  <si>
    <t>销量大于1500的月份</t>
    <phoneticPr fontId="1" type="noConversion"/>
  </si>
  <si>
    <t>$C$2</t>
  </si>
  <si>
    <t>$C$3</t>
  </si>
  <si>
    <t>$C$4</t>
  </si>
  <si>
    <t>$C$5</t>
  </si>
  <si>
    <t>$C$6</t>
  </si>
  <si>
    <t>$D$2</t>
  </si>
  <si>
    <t>$D$3</t>
  </si>
  <si>
    <t>$D$4</t>
  </si>
  <si>
    <t>$D$5</t>
  </si>
  <si>
    <t>$D$6</t>
  </si>
  <si>
    <t>基准情景</t>
  </si>
  <si>
    <t>创建者 Administrator 日期 2026/9/18</t>
  </si>
  <si>
    <t>乐观情景</t>
  </si>
  <si>
    <t>创建者 Administrator 日期 2026/9/18
修改者 Administrator 日期 2026/9/18</t>
  </si>
  <si>
    <t>悲观情景</t>
  </si>
  <si>
    <t>方案摘要</t>
  </si>
  <si>
    <t>可变单元格:</t>
  </si>
  <si>
    <t>当前值:</t>
  </si>
  <si>
    <t>结果单元格:</t>
  </si>
  <si>
    <t>注释: “当前值”这一列表示的是在</t>
  </si>
  <si>
    <t>建立方案汇总时，可变单元格的值。</t>
  </si>
  <si>
    <t>每组方案的可变单元格均以灰色底纹突出显示。</t>
  </si>
  <si>
    <t>基准情景</t>
    <phoneticPr fontId="1" type="noConversion"/>
  </si>
  <si>
    <t>乐观情景</t>
    <phoneticPr fontId="1" type="noConversion"/>
  </si>
  <si>
    <t>悲观情景</t>
    <phoneticPr fontId="1" type="noConversion"/>
  </si>
  <si>
    <t>情景</t>
    <phoneticPr fontId="1" type="noConversion"/>
  </si>
  <si>
    <t>1000/1500/2500/1000/1000</t>
    <phoneticPr fontId="1" type="noConversion"/>
  </si>
  <si>
    <t>2000/3000/3500/4000/2000</t>
    <phoneticPr fontId="1" type="noConversion"/>
  </si>
  <si>
    <t>500/750/400/800/500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</si>
</sst>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9"/>
      <name val="等线"/>
      <family val="2"/>
      <charset val="134"/>
      <scheme val="minor"/>
    </font>
    <font>
      <b/>
      <sz val="11"/>
      <color indexed="9"/>
      <name val="等线"/>
      <family val="3"/>
      <charset val="134"/>
      <scheme val="minor"/>
    </font>
    <font>
      <b/>
      <sz val="11"/>
      <color indexed="8"/>
      <name val="等线"/>
      <family val="2"/>
      <charset val="134"/>
      <scheme val="minor"/>
    </font>
    <font>
      <b/>
      <sz val="11"/>
      <color indexed="18"/>
      <name val="等线"/>
      <family val="2"/>
      <charset val="134"/>
      <scheme val="minor"/>
    </font>
    <font>
      <b/>
      <sz val="11"/>
      <color indexed="18"/>
      <name val="等线"/>
      <family val="3"/>
      <charset val="134"/>
      <scheme val="minor"/>
    </font>
    <font>
      <sz val="11"/>
      <color indexed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17" fontId="0" fillId="0" borderId="0" xfId="0" applyNumberFormat="1">
      <alignment vertical="center"/>
    </xf>
    <xf numFmtId="0" fontId="0" fillId="0" borderId="0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3" fillId="2" borderId="3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0" fillId="0" borderId="4" xfId="0" applyFill="1" applyBorder="1" applyAlignment="1">
      <alignment vertical="center"/>
    </xf>
    <xf numFmtId="0" fontId="4" fillId="3" borderId="0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right" vertical="center"/>
    </xf>
    <xf numFmtId="0" fontId="7" fillId="2" borderId="3" xfId="0" applyFont="1" applyFill="1" applyBorder="1" applyAlignment="1">
      <alignment horizontal="right" vertical="center"/>
    </xf>
    <xf numFmtId="0" fontId="0" fillId="4" borderId="0" xfId="0" applyFill="1" applyBorder="1" applyAlignment="1">
      <alignment vertical="center"/>
    </xf>
    <xf numFmtId="0" fontId="8" fillId="0" borderId="0" xfId="0" applyFont="1" applyFill="1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1:G21"/>
  <sheetViews>
    <sheetView showGridLines="0" workbookViewId="0"/>
  </sheetViews>
  <sheetFormatPr defaultRowHeight="13.8" outlineLevelRow="1" outlineLevelCol="1" x14ac:dyDescent="0.25"/>
  <cols>
    <col min="3" max="3" width="6.33203125" customWidth="1"/>
    <col min="4" max="7" width="9.6640625" bestFit="1" customWidth="1" outlineLevel="1"/>
  </cols>
  <sheetData>
    <row r="1" spans="2:7" ht="14.4" thickBot="1" x14ac:dyDescent="0.3"/>
    <row r="2" spans="2:7" x14ac:dyDescent="0.25">
      <c r="B2" s="5" t="s">
        <v>24</v>
      </c>
      <c r="C2" s="6"/>
      <c r="D2" s="12"/>
      <c r="E2" s="12"/>
      <c r="F2" s="12"/>
      <c r="G2" s="12"/>
    </row>
    <row r="3" spans="2:7" collapsed="1" x14ac:dyDescent="0.25">
      <c r="B3" s="4"/>
      <c r="C3" s="4"/>
      <c r="D3" s="13" t="s">
        <v>26</v>
      </c>
      <c r="E3" s="13" t="s">
        <v>19</v>
      </c>
      <c r="F3" s="13" t="s">
        <v>21</v>
      </c>
      <c r="G3" s="13" t="s">
        <v>23</v>
      </c>
    </row>
    <row r="4" spans="2:7" ht="105.6" hidden="1" outlineLevel="1" x14ac:dyDescent="0.25">
      <c r="B4" s="8"/>
      <c r="C4" s="8"/>
      <c r="D4" s="2"/>
      <c r="E4" s="15" t="s">
        <v>20</v>
      </c>
      <c r="F4" s="15" t="s">
        <v>22</v>
      </c>
      <c r="G4" s="15" t="s">
        <v>20</v>
      </c>
    </row>
    <row r="5" spans="2:7" x14ac:dyDescent="0.25">
      <c r="B5" s="9" t="s">
        <v>25</v>
      </c>
      <c r="C5" s="10"/>
      <c r="D5" s="7"/>
      <c r="E5" s="7"/>
      <c r="F5" s="7"/>
      <c r="G5" s="7"/>
    </row>
    <row r="6" spans="2:7" outlineLevel="1" x14ac:dyDescent="0.25">
      <c r="B6" s="8"/>
      <c r="C6" s="8" t="s">
        <v>9</v>
      </c>
      <c r="D6" s="2">
        <v>20</v>
      </c>
      <c r="E6" s="14">
        <v>20</v>
      </c>
      <c r="F6" s="14">
        <v>25</v>
      </c>
      <c r="G6" s="14">
        <v>10</v>
      </c>
    </row>
    <row r="7" spans="2:7" outlineLevel="1" x14ac:dyDescent="0.25">
      <c r="B7" s="8"/>
      <c r="C7" s="8" t="s">
        <v>10</v>
      </c>
      <c r="D7" s="2">
        <v>20</v>
      </c>
      <c r="E7" s="14">
        <v>20</v>
      </c>
      <c r="F7" s="14">
        <v>25</v>
      </c>
      <c r="G7" s="14">
        <v>8</v>
      </c>
    </row>
    <row r="8" spans="2:7" outlineLevel="1" x14ac:dyDescent="0.25">
      <c r="B8" s="8"/>
      <c r="C8" s="8" t="s">
        <v>11</v>
      </c>
      <c r="D8" s="2">
        <v>20</v>
      </c>
      <c r="E8" s="14">
        <v>20</v>
      </c>
      <c r="F8" s="14">
        <v>25</v>
      </c>
      <c r="G8" s="14">
        <v>9</v>
      </c>
    </row>
    <row r="9" spans="2:7" outlineLevel="1" x14ac:dyDescent="0.25">
      <c r="B9" s="8"/>
      <c r="C9" s="8" t="s">
        <v>12</v>
      </c>
      <c r="D9" s="2">
        <v>20</v>
      </c>
      <c r="E9" s="14">
        <v>20</v>
      </c>
      <c r="F9" s="14">
        <v>25</v>
      </c>
      <c r="G9" s="14">
        <v>11.5</v>
      </c>
    </row>
    <row r="10" spans="2:7" outlineLevel="1" x14ac:dyDescent="0.25">
      <c r="B10" s="8"/>
      <c r="C10" s="8" t="s">
        <v>13</v>
      </c>
      <c r="D10" s="2">
        <v>20</v>
      </c>
      <c r="E10" s="14">
        <v>20</v>
      </c>
      <c r="F10" s="14">
        <v>25</v>
      </c>
      <c r="G10" s="14">
        <v>12</v>
      </c>
    </row>
    <row r="11" spans="2:7" outlineLevel="1" x14ac:dyDescent="0.25">
      <c r="B11" s="8"/>
      <c r="C11" s="8" t="s">
        <v>14</v>
      </c>
      <c r="D11" s="2">
        <v>1000</v>
      </c>
      <c r="E11" s="14">
        <v>1000</v>
      </c>
      <c r="F11" s="14">
        <v>1000</v>
      </c>
      <c r="G11" s="14">
        <v>1000</v>
      </c>
    </row>
    <row r="12" spans="2:7" outlineLevel="1" x14ac:dyDescent="0.25">
      <c r="B12" s="8"/>
      <c r="C12" s="8" t="s">
        <v>15</v>
      </c>
      <c r="D12" s="2">
        <v>1500</v>
      </c>
      <c r="E12" s="14">
        <v>1500</v>
      </c>
      <c r="F12" s="14">
        <v>1500</v>
      </c>
      <c r="G12" s="14">
        <v>1500</v>
      </c>
    </row>
    <row r="13" spans="2:7" outlineLevel="1" x14ac:dyDescent="0.25">
      <c r="B13" s="8"/>
      <c r="C13" s="8" t="s">
        <v>16</v>
      </c>
      <c r="D13" s="2">
        <v>2500</v>
      </c>
      <c r="E13" s="14">
        <v>2500</v>
      </c>
      <c r="F13" s="14">
        <v>2500</v>
      </c>
      <c r="G13" s="14">
        <v>2500</v>
      </c>
    </row>
    <row r="14" spans="2:7" outlineLevel="1" x14ac:dyDescent="0.25">
      <c r="B14" s="8"/>
      <c r="C14" s="8" t="s">
        <v>17</v>
      </c>
      <c r="D14" s="2">
        <v>1000</v>
      </c>
      <c r="E14" s="14">
        <v>1000</v>
      </c>
      <c r="F14" s="14">
        <v>1000</v>
      </c>
      <c r="G14" s="14">
        <v>1000</v>
      </c>
    </row>
    <row r="15" spans="2:7" outlineLevel="1" x14ac:dyDescent="0.25">
      <c r="B15" s="8"/>
      <c r="C15" s="8" t="s">
        <v>18</v>
      </c>
      <c r="D15" s="2">
        <v>1000</v>
      </c>
      <c r="E15" s="14">
        <v>1000</v>
      </c>
      <c r="F15" s="14">
        <v>1000</v>
      </c>
      <c r="G15" s="14">
        <v>1000</v>
      </c>
    </row>
    <row r="16" spans="2:7" x14ac:dyDescent="0.25">
      <c r="B16" s="9" t="s">
        <v>27</v>
      </c>
      <c r="C16" s="10"/>
      <c r="D16" s="7"/>
      <c r="E16" s="7"/>
      <c r="F16" s="7"/>
      <c r="G16" s="7"/>
    </row>
    <row r="17" spans="2:7" outlineLevel="1" x14ac:dyDescent="0.25">
      <c r="B17" s="8"/>
      <c r="C17" s="8" t="s">
        <v>15</v>
      </c>
      <c r="D17" s="2">
        <v>1500</v>
      </c>
      <c r="E17" s="2">
        <v>1500</v>
      </c>
      <c r="F17" s="2">
        <v>1500</v>
      </c>
      <c r="G17" s="2">
        <v>1500</v>
      </c>
    </row>
    <row r="18" spans="2:7" ht="14.4" outlineLevel="1" thickBot="1" x14ac:dyDescent="0.3">
      <c r="B18" s="11"/>
      <c r="C18" s="11" t="s">
        <v>16</v>
      </c>
      <c r="D18" s="3">
        <v>2500</v>
      </c>
      <c r="E18" s="3">
        <v>2500</v>
      </c>
      <c r="F18" s="3">
        <v>2500</v>
      </c>
      <c r="G18" s="3">
        <v>2500</v>
      </c>
    </row>
    <row r="19" spans="2:7" x14ac:dyDescent="0.25">
      <c r="B19" t="s">
        <v>28</v>
      </c>
    </row>
    <row r="20" spans="2:7" x14ac:dyDescent="0.25">
      <c r="B20" t="s">
        <v>29</v>
      </c>
    </row>
    <row r="21" spans="2:7" x14ac:dyDescent="0.25">
      <c r="B21" t="s">
        <v>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tabSelected="1" zoomScale="170" zoomScaleNormal="170" workbookViewId="0">
      <selection activeCell="D7" sqref="D7"/>
    </sheetView>
  </sheetViews>
  <sheetFormatPr defaultRowHeight="13.8" x14ac:dyDescent="0.25"/>
  <cols>
    <col min="3" max="3" width="24.88671875" customWidth="1"/>
    <col min="8" max="8" width="18.77734375" customWidth="1"/>
  </cols>
  <sheetData>
    <row r="1" spans="1:8" x14ac:dyDescent="0.25">
      <c r="A1" t="s">
        <v>0</v>
      </c>
      <c r="B1" t="s">
        <v>2</v>
      </c>
      <c r="C1" t="s">
        <v>1</v>
      </c>
      <c r="D1" t="s">
        <v>3</v>
      </c>
      <c r="E1" t="s">
        <v>5</v>
      </c>
      <c r="F1" t="s">
        <v>6</v>
      </c>
      <c r="G1" t="s">
        <v>7</v>
      </c>
      <c r="H1" t="s">
        <v>8</v>
      </c>
    </row>
    <row r="2" spans="1:8" x14ac:dyDescent="0.25">
      <c r="A2" s="1">
        <v>46143</v>
      </c>
      <c r="B2" t="s">
        <v>4</v>
      </c>
      <c r="C2">
        <v>10</v>
      </c>
      <c r="D2">
        <v>500</v>
      </c>
      <c r="E2">
        <v>11.5</v>
      </c>
      <c r="F2">
        <f>C2*D2</f>
        <v>5000</v>
      </c>
      <c r="G2">
        <f>SUMIFS(F:F,B:B,"滑轮")</f>
        <v>29500</v>
      </c>
      <c r="H2">
        <f>COUNTIFS(B:B,"滑轮",D:D,"&gt;=1500")</f>
        <v>0</v>
      </c>
    </row>
    <row r="3" spans="1:8" x14ac:dyDescent="0.25">
      <c r="A3" s="1">
        <v>46174</v>
      </c>
      <c r="B3" t="s">
        <v>4</v>
      </c>
      <c r="C3">
        <v>10</v>
      </c>
      <c r="D3">
        <v>750</v>
      </c>
      <c r="E3">
        <v>11.5</v>
      </c>
      <c r="F3">
        <f t="shared" ref="F3:F6" si="0">C3*D3</f>
        <v>7500</v>
      </c>
    </row>
    <row r="4" spans="1:8" x14ac:dyDescent="0.25">
      <c r="A4" s="1">
        <v>46204</v>
      </c>
      <c r="B4" t="s">
        <v>4</v>
      </c>
      <c r="C4">
        <v>10</v>
      </c>
      <c r="D4">
        <v>400</v>
      </c>
      <c r="E4">
        <v>11.5</v>
      </c>
      <c r="F4">
        <f t="shared" si="0"/>
        <v>4000</v>
      </c>
    </row>
    <row r="5" spans="1:8" x14ac:dyDescent="0.25">
      <c r="A5" s="1">
        <v>46235</v>
      </c>
      <c r="B5" t="s">
        <v>4</v>
      </c>
      <c r="C5">
        <v>10</v>
      </c>
      <c r="D5">
        <v>800</v>
      </c>
      <c r="E5">
        <v>11.5</v>
      </c>
      <c r="F5">
        <f t="shared" si="0"/>
        <v>8000</v>
      </c>
    </row>
    <row r="6" spans="1:8" x14ac:dyDescent="0.25">
      <c r="A6" s="1">
        <v>46266</v>
      </c>
      <c r="B6" t="s">
        <v>4</v>
      </c>
      <c r="C6">
        <v>10</v>
      </c>
      <c r="D6">
        <v>500</v>
      </c>
      <c r="E6">
        <v>11.5</v>
      </c>
      <c r="F6">
        <f t="shared" si="0"/>
        <v>5000</v>
      </c>
    </row>
    <row r="8" spans="1:8" x14ac:dyDescent="0.25">
      <c r="A8" t="s">
        <v>34</v>
      </c>
      <c r="B8" t="s">
        <v>1</v>
      </c>
      <c r="C8" t="s">
        <v>3</v>
      </c>
      <c r="D8" t="s">
        <v>7</v>
      </c>
    </row>
    <row r="9" spans="1:8" x14ac:dyDescent="0.25">
      <c r="A9" t="s">
        <v>31</v>
      </c>
      <c r="B9">
        <v>20</v>
      </c>
      <c r="C9" t="s">
        <v>35</v>
      </c>
      <c r="D9">
        <v>140000</v>
      </c>
    </row>
    <row r="10" spans="1:8" x14ac:dyDescent="0.25">
      <c r="A10" t="s">
        <v>32</v>
      </c>
      <c r="B10">
        <v>25</v>
      </c>
      <c r="C10" t="s">
        <v>36</v>
      </c>
      <c r="D10">
        <v>362500</v>
      </c>
    </row>
    <row r="11" spans="1:8" x14ac:dyDescent="0.25">
      <c r="A11" t="s">
        <v>33</v>
      </c>
      <c r="B11">
        <v>10</v>
      </c>
      <c r="C11" t="s">
        <v>37</v>
      </c>
    </row>
  </sheetData>
  <scenarios current="2" sqref="D3 D4">
    <scenario name="基准情景" locked="1" count="10" user="Administrator" comment="创建者 Administrator 日期 2026/9/18">
      <inputCells r="C2" val="20"/>
      <inputCells r="C3" val="20"/>
      <inputCells r="C4" val="20"/>
      <inputCells r="C5" val="20"/>
      <inputCells r="C6" val="20"/>
      <inputCells r="D2" val="1000"/>
      <inputCells r="D3" val="1500"/>
      <inputCells r="D4" val="2500"/>
      <inputCells r="D5" val="1000"/>
      <inputCells r="D6" val="1000"/>
    </scenario>
    <scenario name="乐观情景" locked="1" count="10" user="Administrator" comment="创建者 Administrator 日期 2026/9/18_x000a_修改者 Administrator 日期 2026/9/18">
      <inputCells r="C2" val="25"/>
      <inputCells r="C3" val="25"/>
      <inputCells r="C4" val="25"/>
      <inputCells r="C5" val="25"/>
      <inputCells r="C6" val="25"/>
      <inputCells r="D2" val="1000"/>
      <inputCells r="D3" val="1500"/>
      <inputCells r="D4" val="2500"/>
      <inputCells r="D5" val="1000"/>
      <inputCells r="D6" val="1000"/>
    </scenario>
    <scenario name="悲观情景" locked="1" count="10" user="Administrator" comment="创建者 Administrator 日期 2026/9/18">
      <inputCells r="C2" val="10"/>
      <inputCells r="C3" val="8"/>
      <inputCells r="C4" val="9"/>
      <inputCells r="C5" val="11.5"/>
      <inputCells r="C6" val="12"/>
      <inputCells r="D2" val="1000"/>
      <inputCells r="D3" val="1500"/>
      <inputCells r="D4" val="2500"/>
      <inputCells r="D5" val="1000"/>
      <inputCells r="D6" val="1000"/>
    </scenario>
  </scenario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方案摘要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2026-09-18T09:37:52Z</dcterms:created>
  <dcterms:modified xsi:type="dcterms:W3CDTF">2026-09-18T11:28:37Z</dcterms:modified>
</cp:coreProperties>
</file>