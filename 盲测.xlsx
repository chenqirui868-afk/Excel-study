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week 2\"/>
    </mc:Choice>
  </mc:AlternateContent>
  <bookViews>
    <workbookView xWindow="0" yWindow="0" windowWidth="23040" windowHeight="104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H2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<sst xmlns="http://schemas.openxmlformats.org/spreadsheetml/2006/main" count="20" uniqueCount="12">
  <si>
    <t>日期</t>
    <phoneticPr fontId="1" type="noConversion"/>
  </si>
  <si>
    <t>教练</t>
    <phoneticPr fontId="1" type="noConversion"/>
  </si>
  <si>
    <t>课程</t>
    <phoneticPr fontId="1" type="noConversion"/>
  </si>
  <si>
    <t>单价</t>
    <phoneticPr fontId="1" type="noConversion"/>
  </si>
  <si>
    <t>数量</t>
    <phoneticPr fontId="1" type="noConversion"/>
  </si>
  <si>
    <t>Alex</t>
    <phoneticPr fontId="1" type="noConversion"/>
  </si>
  <si>
    <t>Ben</t>
    <phoneticPr fontId="1" type="noConversion"/>
  </si>
  <si>
    <t>Cathy</t>
    <phoneticPr fontId="1" type="noConversion"/>
  </si>
  <si>
    <t>力量训练</t>
    <phoneticPr fontId="1" type="noConversion"/>
  </si>
  <si>
    <t>普拉提</t>
    <phoneticPr fontId="1" type="noConversion"/>
  </si>
  <si>
    <t>拳击</t>
    <phoneticPr fontId="1" type="noConversion"/>
  </si>
  <si>
    <t>总金额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</si>
</sst>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50" zoomScaleNormal="150" workbookViewId="0">
      <selection activeCell="G5" sqref="G5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8" x14ac:dyDescent="0.25">
      <c r="A2" s="1">
        <v>46266</v>
      </c>
      <c r="B2" t="s">
        <v>5</v>
      </c>
      <c r="C2" t="s">
        <v>8</v>
      </c>
      <c r="D2">
        <v>300</v>
      </c>
      <c r="E2">
        <v>2</v>
      </c>
      <c r="F2">
        <f>D2*E2</f>
        <v>600</v>
      </c>
      <c r="G2">
        <f>SUMIFS(F:F,B:B,"Alex")</f>
        <v>2000</v>
      </c>
      <c r="H2">
        <f>COUNTIFS(C:C,"普拉提")</f>
        <v>3</v>
      </c>
    </row>
    <row r="3" spans="1:8" x14ac:dyDescent="0.25">
      <c r="A3" s="1">
        <v>46266</v>
      </c>
      <c r="B3" t="s">
        <v>6</v>
      </c>
      <c r="C3" t="s">
        <v>9</v>
      </c>
      <c r="D3">
        <v>400</v>
      </c>
      <c r="E3">
        <v>1</v>
      </c>
      <c r="F3">
        <f t="shared" ref="F3:F8" si="0">D3*E3</f>
        <v>400</v>
      </c>
    </row>
    <row r="4" spans="1:8" x14ac:dyDescent="0.25">
      <c r="A4" s="1">
        <v>46267</v>
      </c>
      <c r="B4" t="s">
        <v>5</v>
      </c>
      <c r="C4" t="s">
        <v>10</v>
      </c>
      <c r="D4">
        <v>350</v>
      </c>
      <c r="E4">
        <v>3</v>
      </c>
      <c r="F4">
        <f t="shared" si="0"/>
        <v>1050</v>
      </c>
      <c r="G4">
        <f>SUMIFS(F:F,B:B,"Ben",C:C,"普拉提")</f>
        <v>2000</v>
      </c>
    </row>
    <row r="5" spans="1:8" x14ac:dyDescent="0.25">
      <c r="A5" s="1">
        <v>46267</v>
      </c>
      <c r="B5" t="s">
        <v>7</v>
      </c>
      <c r="C5" t="s">
        <v>8</v>
      </c>
      <c r="D5">
        <v>300</v>
      </c>
      <c r="E5">
        <v>2</v>
      </c>
      <c r="F5">
        <f t="shared" si="0"/>
        <v>600</v>
      </c>
    </row>
    <row r="6" spans="1:8" x14ac:dyDescent="0.25">
      <c r="A6" s="1">
        <v>46268</v>
      </c>
      <c r="B6" t="s">
        <v>6</v>
      </c>
      <c r="C6" t="s">
        <v>9</v>
      </c>
      <c r="D6">
        <v>400</v>
      </c>
      <c r="E6">
        <v>4</v>
      </c>
      <c r="F6">
        <f t="shared" si="0"/>
        <v>1600</v>
      </c>
    </row>
    <row r="7" spans="1:8" x14ac:dyDescent="0.25">
      <c r="A7" s="1">
        <v>46268</v>
      </c>
      <c r="B7" t="s">
        <v>5</v>
      </c>
      <c r="C7" t="s">
        <v>10</v>
      </c>
      <c r="D7">
        <v>350</v>
      </c>
      <c r="E7">
        <v>1</v>
      </c>
      <c r="F7">
        <f t="shared" si="0"/>
        <v>350</v>
      </c>
    </row>
    <row r="8" spans="1:8" x14ac:dyDescent="0.25">
      <c r="A8" s="1">
        <v>46269</v>
      </c>
      <c r="B8" t="s">
        <v>7</v>
      </c>
      <c r="C8" t="s">
        <v>9</v>
      </c>
      <c r="D8">
        <v>400</v>
      </c>
      <c r="E8">
        <v>2</v>
      </c>
      <c r="F8">
        <f t="shared" si="0"/>
        <v>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2026-09-11T08:55:05Z</dcterms:created>
  <dcterms:modified xsi:type="dcterms:W3CDTF">2026-09-11T09:15:39Z</dcterms:modified>
</cp:coreProperties>
</file>