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week 2\"/>
    </mc:Choice>
  </mc:AlternateContent>
  <bookViews>
    <workbookView xWindow="0" yWindow="0" windowWidth="9192" windowHeight="298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8" i="1" l="1"/>
  <c r="H7" i="1"/>
  <c r="H6" i="1"/>
  <c r="H5" i="1"/>
  <c r="H4" i="1"/>
  <c r="H2" i="1"/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" i="1"/>
</calcChain>
</file>

<file path=xl/sharedStrings.xml><?xml version="1.0" encoding="utf-8"?>
<sst xmlns="http://schemas.openxmlformats.org/spreadsheetml/2006/main" count="46" uniqueCount="12">
  <si>
    <t>门店</t>
  </si>
  <si>
    <t>产品</t>
  </si>
  <si>
    <t>单价</t>
  </si>
  <si>
    <t>数量</t>
  </si>
  <si>
    <t>奥克兰店</t>
  </si>
  <si>
    <t>珍珠奶茶</t>
  </si>
  <si>
    <t>柠檬茶</t>
  </si>
  <si>
    <t>惠灵顿店</t>
  </si>
  <si>
    <t>抹茶拿铁</t>
  </si>
  <si>
    <t>基督城店</t>
  </si>
  <si>
    <t>日期</t>
    <phoneticPr fontId="1" type="noConversion"/>
  </si>
  <si>
    <t>销售额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</si>
</sst>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tabSelected="1" zoomScale="160" zoomScaleNormal="160" workbookViewId="0">
      <selection activeCell="H9" sqref="H9"/>
    </sheetView>
  </sheetViews>
  <sheetFormatPr defaultRowHeight="13.8" x14ac:dyDescent="0.25"/>
  <cols>
    <col min="1" max="1" width="9.6640625" customWidth="1"/>
  </cols>
  <sheetData>
    <row r="1" spans="1:8" x14ac:dyDescent="0.25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11</v>
      </c>
    </row>
    <row r="2" spans="1:8" x14ac:dyDescent="0.25">
      <c r="A2" s="1">
        <v>46266</v>
      </c>
      <c r="B2" t="s">
        <v>4</v>
      </c>
      <c r="C2" t="s">
        <v>5</v>
      </c>
      <c r="D2">
        <v>8</v>
      </c>
      <c r="E2">
        <v>15</v>
      </c>
      <c r="F2">
        <f>D2*E2</f>
        <v>120</v>
      </c>
      <c r="H2">
        <f>SUMIFS(F:F,B:B,"奥克兰店")</f>
        <v>947</v>
      </c>
    </row>
    <row r="3" spans="1:8" x14ac:dyDescent="0.25">
      <c r="A3" s="1">
        <v>46266</v>
      </c>
      <c r="B3" t="s">
        <v>4</v>
      </c>
      <c r="C3" t="s">
        <v>6</v>
      </c>
      <c r="D3">
        <v>6</v>
      </c>
      <c r="E3">
        <v>10</v>
      </c>
      <c r="F3">
        <f t="shared" ref="F3:F21" si="0">D3*E3</f>
        <v>60</v>
      </c>
    </row>
    <row r="4" spans="1:8" x14ac:dyDescent="0.25">
      <c r="A4" s="1">
        <v>46266</v>
      </c>
      <c r="B4" t="s">
        <v>7</v>
      </c>
      <c r="C4" t="s">
        <v>5</v>
      </c>
      <c r="D4">
        <v>7.5</v>
      </c>
      <c r="E4">
        <v>20</v>
      </c>
      <c r="F4">
        <f t="shared" si="0"/>
        <v>150</v>
      </c>
      <c r="H4">
        <f>SUMIFS(F:F,B:B,"惠灵顿店",C:C,"柠檬茶")</f>
        <v>204</v>
      </c>
    </row>
    <row r="5" spans="1:8" x14ac:dyDescent="0.25">
      <c r="A5" s="1">
        <v>46267</v>
      </c>
      <c r="B5" t="s">
        <v>4</v>
      </c>
      <c r="C5" t="s">
        <v>8</v>
      </c>
      <c r="D5">
        <v>9</v>
      </c>
      <c r="E5">
        <v>5</v>
      </c>
      <c r="F5">
        <f t="shared" si="0"/>
        <v>45</v>
      </c>
      <c r="H5">
        <f>COUNTIFS(B:B,"奥克兰店")</f>
        <v>8</v>
      </c>
    </row>
    <row r="6" spans="1:8" x14ac:dyDescent="0.25">
      <c r="A6" s="1">
        <v>46267</v>
      </c>
      <c r="B6" t="s">
        <v>7</v>
      </c>
      <c r="C6" t="s">
        <v>6</v>
      </c>
      <c r="D6">
        <v>6</v>
      </c>
      <c r="E6">
        <v>12</v>
      </c>
      <c r="F6">
        <f t="shared" si="0"/>
        <v>72</v>
      </c>
      <c r="H6">
        <f>COUNTIFS(B:B,"奥克兰店",C:C,"珍珠奶茶")</f>
        <v>3</v>
      </c>
    </row>
    <row r="7" spans="1:8" x14ac:dyDescent="0.25">
      <c r="A7" s="1">
        <v>46267</v>
      </c>
      <c r="B7" t="s">
        <v>9</v>
      </c>
      <c r="C7" t="s">
        <v>5</v>
      </c>
      <c r="D7">
        <v>8</v>
      </c>
      <c r="E7">
        <v>18</v>
      </c>
      <c r="F7">
        <f t="shared" si="0"/>
        <v>144</v>
      </c>
      <c r="H7">
        <f>COUNTIFS(E:E,"&gt;15")</f>
        <v>10</v>
      </c>
    </row>
    <row r="8" spans="1:8" x14ac:dyDescent="0.25">
      <c r="A8" s="1">
        <v>46268</v>
      </c>
      <c r="B8" t="s">
        <v>4</v>
      </c>
      <c r="C8" t="s">
        <v>5</v>
      </c>
      <c r="D8">
        <v>8</v>
      </c>
      <c r="E8">
        <v>25</v>
      </c>
      <c r="F8">
        <f t="shared" si="0"/>
        <v>200</v>
      </c>
      <c r="H8">
        <f>COUNTIFS(B:B,"惠灵顿店",E:E,"&gt;=15")</f>
        <v>4</v>
      </c>
    </row>
    <row r="9" spans="1:8" x14ac:dyDescent="0.25">
      <c r="A9" s="1">
        <v>46268</v>
      </c>
      <c r="B9" t="s">
        <v>7</v>
      </c>
      <c r="C9" t="s">
        <v>8</v>
      </c>
      <c r="D9">
        <v>9</v>
      </c>
      <c r="E9">
        <v>8</v>
      </c>
      <c r="F9">
        <f t="shared" si="0"/>
        <v>72</v>
      </c>
    </row>
    <row r="10" spans="1:8" x14ac:dyDescent="0.25">
      <c r="A10" s="1">
        <v>46269</v>
      </c>
      <c r="B10" t="s">
        <v>9</v>
      </c>
      <c r="C10" t="s">
        <v>6</v>
      </c>
      <c r="D10">
        <v>5.5</v>
      </c>
      <c r="E10">
        <v>30</v>
      </c>
      <c r="F10">
        <f t="shared" si="0"/>
        <v>165</v>
      </c>
    </row>
    <row r="11" spans="1:8" x14ac:dyDescent="0.25">
      <c r="A11" s="1">
        <v>46269</v>
      </c>
      <c r="B11" t="s">
        <v>4</v>
      </c>
      <c r="C11" t="s">
        <v>6</v>
      </c>
      <c r="D11">
        <v>6</v>
      </c>
      <c r="E11">
        <v>20</v>
      </c>
      <c r="F11">
        <f t="shared" si="0"/>
        <v>120</v>
      </c>
    </row>
    <row r="12" spans="1:8" x14ac:dyDescent="0.25">
      <c r="A12" s="1">
        <v>46270</v>
      </c>
      <c r="B12" t="s">
        <v>7</v>
      </c>
      <c r="C12" t="s">
        <v>5</v>
      </c>
      <c r="D12">
        <v>7.5</v>
      </c>
      <c r="E12">
        <v>15</v>
      </c>
      <c r="F12">
        <f t="shared" si="0"/>
        <v>112.5</v>
      </c>
    </row>
    <row r="13" spans="1:8" x14ac:dyDescent="0.25">
      <c r="A13" s="1">
        <v>46270</v>
      </c>
      <c r="B13" t="s">
        <v>9</v>
      </c>
      <c r="C13" t="s">
        <v>8</v>
      </c>
      <c r="D13">
        <v>9</v>
      </c>
      <c r="E13">
        <v>10</v>
      </c>
      <c r="F13">
        <f t="shared" si="0"/>
        <v>90</v>
      </c>
    </row>
    <row r="14" spans="1:8" x14ac:dyDescent="0.25">
      <c r="A14" s="1">
        <v>46271</v>
      </c>
      <c r="B14" t="s">
        <v>4</v>
      </c>
      <c r="C14" t="s">
        <v>8</v>
      </c>
      <c r="D14">
        <v>9</v>
      </c>
      <c r="E14">
        <v>6</v>
      </c>
      <c r="F14">
        <f t="shared" si="0"/>
        <v>54</v>
      </c>
    </row>
    <row r="15" spans="1:8" x14ac:dyDescent="0.25">
      <c r="A15" s="1">
        <v>46272</v>
      </c>
      <c r="B15" t="s">
        <v>7</v>
      </c>
      <c r="C15" t="s">
        <v>6</v>
      </c>
      <c r="D15">
        <v>6</v>
      </c>
      <c r="E15">
        <v>22</v>
      </c>
      <c r="F15">
        <f t="shared" si="0"/>
        <v>132</v>
      </c>
    </row>
    <row r="16" spans="1:8" x14ac:dyDescent="0.25">
      <c r="A16" s="1">
        <v>46272</v>
      </c>
      <c r="B16" t="s">
        <v>9</v>
      </c>
      <c r="C16" t="s">
        <v>5</v>
      </c>
      <c r="D16">
        <v>8</v>
      </c>
      <c r="E16">
        <v>14</v>
      </c>
      <c r="F16">
        <f t="shared" si="0"/>
        <v>112</v>
      </c>
    </row>
    <row r="17" spans="1:6" x14ac:dyDescent="0.25">
      <c r="A17" s="1">
        <v>46273</v>
      </c>
      <c r="B17" t="s">
        <v>4</v>
      </c>
      <c r="C17" t="s">
        <v>5</v>
      </c>
      <c r="D17">
        <v>8</v>
      </c>
      <c r="E17">
        <v>30</v>
      </c>
      <c r="F17">
        <f t="shared" si="0"/>
        <v>240</v>
      </c>
    </row>
    <row r="18" spans="1:6" x14ac:dyDescent="0.25">
      <c r="A18" s="1">
        <v>46273</v>
      </c>
      <c r="B18" t="s">
        <v>7</v>
      </c>
      <c r="C18" t="s">
        <v>8</v>
      </c>
      <c r="D18">
        <v>9</v>
      </c>
      <c r="E18">
        <v>5</v>
      </c>
      <c r="F18">
        <f t="shared" si="0"/>
        <v>45</v>
      </c>
    </row>
    <row r="19" spans="1:6" x14ac:dyDescent="0.25">
      <c r="A19" s="1">
        <v>46274</v>
      </c>
      <c r="B19" t="s">
        <v>9</v>
      </c>
      <c r="C19" t="s">
        <v>6</v>
      </c>
      <c r="D19">
        <v>5.5</v>
      </c>
      <c r="E19">
        <v>25</v>
      </c>
      <c r="F19">
        <f t="shared" si="0"/>
        <v>137.5</v>
      </c>
    </row>
    <row r="20" spans="1:6" x14ac:dyDescent="0.25">
      <c r="A20" s="1">
        <v>46274</v>
      </c>
      <c r="B20" t="s">
        <v>4</v>
      </c>
      <c r="C20" t="s">
        <v>6</v>
      </c>
      <c r="D20">
        <v>6</v>
      </c>
      <c r="E20">
        <v>18</v>
      </c>
      <c r="F20">
        <f t="shared" si="0"/>
        <v>108</v>
      </c>
    </row>
    <row r="21" spans="1:6" x14ac:dyDescent="0.25">
      <c r="A21" s="1">
        <v>46275</v>
      </c>
      <c r="B21" t="s">
        <v>7</v>
      </c>
      <c r="C21" t="s">
        <v>5</v>
      </c>
      <c r="D21">
        <v>7.5</v>
      </c>
      <c r="E21">
        <v>20</v>
      </c>
      <c r="F21">
        <f t="shared" si="0"/>
        <v>150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2026-09-11T08:30:18Z</dcterms:created>
  <dcterms:modified xsi:type="dcterms:W3CDTF">2026-09-11T08:55:01Z</dcterms:modified>
</cp:coreProperties>
</file>