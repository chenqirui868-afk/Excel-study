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week 2\"/>
    </mc:Choice>
  </mc:AlternateContent>
  <bookViews>
    <workbookView xWindow="0" yWindow="0" windowWidth="9192" windowHeight="2988" activeTab="1"/>
  </bookViews>
  <sheets>
    <sheet name="Sheet2" sheetId="2" r:id="rId1"/>
    <sheet name="Sheet1" sheetId="1" r:id="rId2"/>
  </sheets>
  <calcPr calcId="162913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</calcChain>
</file>

<file path=xl/sharedStrings.xml><?xml version="1.0" encoding="utf-8"?>
<sst xmlns="http://schemas.openxmlformats.org/spreadsheetml/2006/main" count="30" uniqueCount="22">
  <si>
    <t>日期</t>
    <phoneticPr fontId="1" type="noConversion"/>
  </si>
  <si>
    <t>训练项目</t>
    <phoneticPr fontId="1" type="noConversion"/>
  </si>
  <si>
    <t>消耗卡路里</t>
    <phoneticPr fontId="1" type="noConversion"/>
  </si>
  <si>
    <t>体重</t>
    <phoneticPr fontId="1" type="noConversion"/>
  </si>
  <si>
    <t>训练时长（分钟）</t>
    <phoneticPr fontId="1" type="noConversion"/>
  </si>
  <si>
    <t>力量训练</t>
  </si>
  <si>
    <t>休息</t>
  </si>
  <si>
    <t>篮球</t>
  </si>
  <si>
    <t>篮球</t>
    <phoneticPr fontId="1" type="noConversion"/>
  </si>
  <si>
    <t>休息</t>
    <phoneticPr fontId="1" type="noConversion"/>
  </si>
  <si>
    <t>总消耗卡路里</t>
    <phoneticPr fontId="1" type="noConversion"/>
  </si>
  <si>
    <t>力量训练总时长</t>
    <phoneticPr fontId="1" type="noConversion"/>
  </si>
  <si>
    <t>篮球总消耗</t>
    <phoneticPr fontId="1" type="noConversion"/>
  </si>
  <si>
    <t>平均体重</t>
    <phoneticPr fontId="1" type="noConversion"/>
  </si>
  <si>
    <t>爬坡</t>
  </si>
  <si>
    <t>爬坡</t>
    <phoneticPr fontId="1" type="noConversion"/>
  </si>
  <si>
    <t>有氧总天数</t>
    <phoneticPr fontId="1" type="noConversion"/>
  </si>
  <si>
    <t>体重下降幅度</t>
    <phoneticPr fontId="1" type="noConversion"/>
  </si>
  <si>
    <t>行标签</t>
  </si>
  <si>
    <t>总计</t>
  </si>
  <si>
    <t>列标签</t>
  </si>
  <si>
    <t>求和项:消耗卡路里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</si>
</sst>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6277.811072222219" createdVersion="6" refreshedVersion="6" minRefreshableVersion="3" recordCount="10">
  <cacheSource type="worksheet">
    <worksheetSource ref="A1:K11" sheet="Sheet1"/>
  </cacheSource>
  <cacheFields count="11">
    <cacheField name="日期" numFmtId="14">
      <sharedItems containsSemiMixedTypes="0" containsNonDate="0" containsDate="1" containsString="0" minDate="2026-09-01T00:00:00" maxDate="2026-09-11T00:00:00"/>
    </cacheField>
    <cacheField name="训练项目" numFmtId="0">
      <sharedItems count="4">
        <s v="力量训练"/>
        <s v="篮球"/>
        <s v="爬坡"/>
        <s v="休息"/>
      </sharedItems>
    </cacheField>
    <cacheField name="消耗卡路里" numFmtId="0">
      <sharedItems containsSemiMixedTypes="0" containsString="0" containsNumber="1" containsInteger="1" minValue="0" maxValue="520"/>
    </cacheField>
    <cacheField name="体重" numFmtId="0">
      <sharedItems containsSemiMixedTypes="0" containsString="0" containsNumber="1" minValue="75.2" maxValue="78.3"/>
    </cacheField>
    <cacheField name="训练时长（分钟）" numFmtId="0">
      <sharedItems containsSemiMixedTypes="0" containsString="0" containsNumber="1" containsInteger="1" minValue="0" maxValue="70" count="7">
        <n v="60"/>
        <n v="45"/>
        <n v="65"/>
        <n v="50"/>
        <n v="0"/>
        <n v="70"/>
        <n v="55"/>
      </sharedItems>
    </cacheField>
    <cacheField name="总消耗卡路里" numFmtId="0">
      <sharedItems containsString="0" containsBlank="1" containsNumber="1" containsInteger="1" minValue="3230" maxValue="3230" count="2">
        <n v="3230"/>
        <m/>
      </sharedItems>
    </cacheField>
    <cacheField name="力量训练总时长" numFmtId="0">
      <sharedItems containsString="0" containsBlank="1" containsNumber="1" containsInteger="1" minValue="190" maxValue="190"/>
    </cacheField>
    <cacheField name="篮球总消耗" numFmtId="0">
      <sharedItems containsString="0" containsBlank="1" containsNumber="1" containsInteger="1" minValue="1420" maxValue="1420"/>
    </cacheField>
    <cacheField name="平均体重" numFmtId="0">
      <sharedItems containsString="0" containsBlank="1" containsNumber="1" minValue="76.869999999999976" maxValue="76.869999999999976"/>
    </cacheField>
    <cacheField name="有氧总天数" numFmtId="0">
      <sharedItems containsString="0" containsBlank="1" containsNumber="1" containsInteger="1" minValue="5" maxValue="5"/>
    </cacheField>
    <cacheField name="体重下降幅度" numFmtId="0">
      <sharedItems containsString="0" containsBlank="1" containsNumber="1" minValue="0.70000000000000284" maxValue="0.70000000000000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6-09-01T00:00:00"/>
    <x v="0"/>
    <n v="300"/>
    <n v="77.599999999999994"/>
    <x v="0"/>
    <x v="0"/>
    <n v="190"/>
    <n v="1420"/>
    <n v="76.869999999999976"/>
    <n v="5"/>
    <n v="0.70000000000000284"/>
  </r>
  <r>
    <d v="2026-09-02T00:00:00"/>
    <x v="1"/>
    <n v="400"/>
    <n v="77.400000000000006"/>
    <x v="1"/>
    <x v="1"/>
    <m/>
    <m/>
    <m/>
    <m/>
    <m/>
  </r>
  <r>
    <d v="2026-09-03T00:00:00"/>
    <x v="2"/>
    <n v="350"/>
    <n v="76.7"/>
    <x v="2"/>
    <x v="1"/>
    <m/>
    <m/>
    <m/>
    <m/>
    <m/>
  </r>
  <r>
    <d v="2026-09-04T00:00:00"/>
    <x v="1"/>
    <n v="500"/>
    <n v="76.099999999999994"/>
    <x v="3"/>
    <x v="1"/>
    <m/>
    <m/>
    <m/>
    <m/>
    <m/>
  </r>
  <r>
    <d v="2026-09-05T00:00:00"/>
    <x v="3"/>
    <n v="0"/>
    <n v="76"/>
    <x v="4"/>
    <x v="1"/>
    <m/>
    <m/>
    <m/>
    <m/>
    <m/>
  </r>
  <r>
    <d v="2026-09-06T00:00:00"/>
    <x v="3"/>
    <n v="0"/>
    <n v="75.8"/>
    <x v="4"/>
    <x v="1"/>
    <m/>
    <m/>
    <m/>
    <m/>
    <m/>
  </r>
  <r>
    <d v="2026-09-07T00:00:00"/>
    <x v="0"/>
    <n v="380"/>
    <n v="75.2"/>
    <x v="5"/>
    <x v="1"/>
    <m/>
    <m/>
    <m/>
    <m/>
    <m/>
  </r>
  <r>
    <d v="2026-09-08T00:00:00"/>
    <x v="2"/>
    <n v="420"/>
    <n v="77.3"/>
    <x v="1"/>
    <x v="1"/>
    <m/>
    <m/>
    <m/>
    <m/>
    <m/>
  </r>
  <r>
    <d v="2026-09-09T00:00:00"/>
    <x v="0"/>
    <n v="360"/>
    <n v="78.3"/>
    <x v="0"/>
    <x v="1"/>
    <m/>
    <m/>
    <m/>
    <m/>
    <m/>
  </r>
  <r>
    <d v="2026-09-10T00:00:00"/>
    <x v="1"/>
    <n v="520"/>
    <n v="78.3"/>
    <x v="6"/>
    <x v="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2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I9" firstHeaderRow="1" firstDataRow="2" firstDataCol="1"/>
  <pivotFields count="11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axis="axisCol" showAll="0">
      <items count="8">
        <item x="4"/>
        <item x="1"/>
        <item x="3"/>
        <item x="6"/>
        <item x="0"/>
        <item x="2"/>
        <item x="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消耗卡路里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9"/>
  <sheetViews>
    <sheetView workbookViewId="0">
      <selection activeCell="A3" sqref="A3"/>
    </sheetView>
  </sheetViews>
  <sheetFormatPr defaultRowHeight="13.8" x14ac:dyDescent="0.25"/>
  <cols>
    <col min="1" max="1" width="18.77734375" bestFit="1" customWidth="1"/>
    <col min="2" max="2" width="9.77734375" bestFit="1" customWidth="1"/>
    <col min="3" max="8" width="4.88671875" customWidth="1"/>
    <col min="9" max="9" width="6" customWidth="1"/>
  </cols>
  <sheetData>
    <row r="3" spans="1:9" x14ac:dyDescent="0.25">
      <c r="A3" s="2" t="s">
        <v>21</v>
      </c>
      <c r="B3" s="2" t="s">
        <v>20</v>
      </c>
    </row>
    <row r="4" spans="1:9" x14ac:dyDescent="0.25">
      <c r="A4" s="2" t="s">
        <v>18</v>
      </c>
      <c r="B4">
        <v>0</v>
      </c>
      <c r="C4">
        <v>45</v>
      </c>
      <c r="D4">
        <v>50</v>
      </c>
      <c r="E4">
        <v>55</v>
      </c>
      <c r="F4">
        <v>60</v>
      </c>
      <c r="G4">
        <v>65</v>
      </c>
      <c r="H4">
        <v>70</v>
      </c>
      <c r="I4" t="s">
        <v>19</v>
      </c>
    </row>
    <row r="5" spans="1:9" x14ac:dyDescent="0.25">
      <c r="A5" s="3" t="s">
        <v>7</v>
      </c>
      <c r="B5" s="4"/>
      <c r="C5" s="4">
        <v>400</v>
      </c>
      <c r="D5" s="4">
        <v>500</v>
      </c>
      <c r="E5" s="4">
        <v>520</v>
      </c>
      <c r="F5" s="4"/>
      <c r="G5" s="4"/>
      <c r="H5" s="4"/>
      <c r="I5" s="4">
        <v>1420</v>
      </c>
    </row>
    <row r="6" spans="1:9" x14ac:dyDescent="0.25">
      <c r="A6" s="3" t="s">
        <v>5</v>
      </c>
      <c r="B6" s="4"/>
      <c r="C6" s="4"/>
      <c r="D6" s="4"/>
      <c r="E6" s="4"/>
      <c r="F6" s="4">
        <v>660</v>
      </c>
      <c r="G6" s="4"/>
      <c r="H6" s="4">
        <v>380</v>
      </c>
      <c r="I6" s="4">
        <v>1040</v>
      </c>
    </row>
    <row r="7" spans="1:9" x14ac:dyDescent="0.25">
      <c r="A7" s="3" t="s">
        <v>14</v>
      </c>
      <c r="B7" s="4"/>
      <c r="C7" s="4">
        <v>420</v>
      </c>
      <c r="D7" s="4"/>
      <c r="E7" s="4"/>
      <c r="F7" s="4"/>
      <c r="G7" s="4">
        <v>350</v>
      </c>
      <c r="H7" s="4"/>
      <c r="I7" s="4">
        <v>770</v>
      </c>
    </row>
    <row r="8" spans="1:9" x14ac:dyDescent="0.25">
      <c r="A8" s="3" t="s">
        <v>6</v>
      </c>
      <c r="B8" s="4">
        <v>0</v>
      </c>
      <c r="C8" s="4"/>
      <c r="D8" s="4"/>
      <c r="E8" s="4"/>
      <c r="F8" s="4"/>
      <c r="G8" s="4"/>
      <c r="H8" s="4"/>
      <c r="I8" s="4">
        <v>0</v>
      </c>
    </row>
    <row r="9" spans="1:9" x14ac:dyDescent="0.25">
      <c r="A9" s="3" t="s">
        <v>19</v>
      </c>
      <c r="B9" s="4">
        <v>0</v>
      </c>
      <c r="C9" s="4">
        <v>820</v>
      </c>
      <c r="D9" s="4">
        <v>500</v>
      </c>
      <c r="E9" s="4">
        <v>520</v>
      </c>
      <c r="F9" s="4">
        <v>660</v>
      </c>
      <c r="G9" s="4">
        <v>350</v>
      </c>
      <c r="H9" s="4">
        <v>380</v>
      </c>
      <c r="I9" s="4">
        <v>3230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30" zoomScaleNormal="130" workbookViewId="0">
      <selection activeCell="B5" sqref="B5"/>
    </sheetView>
  </sheetViews>
  <sheetFormatPr defaultRowHeight="13.8" x14ac:dyDescent="0.25"/>
  <cols>
    <col min="1" max="1" width="10.5546875" customWidth="1"/>
    <col min="3" max="3" width="12.5546875" customWidth="1"/>
    <col min="5" max="5" width="15.88671875" customWidth="1"/>
    <col min="6" max="6" width="13.88671875" customWidth="1"/>
    <col min="7" max="7" width="15.6640625" customWidth="1"/>
    <col min="8" max="8" width="10.88671875" customWidth="1"/>
    <col min="10" max="10" width="11.109375" customWidth="1"/>
    <col min="11" max="11" width="13.3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16</v>
      </c>
      <c r="K1" t="s">
        <v>17</v>
      </c>
    </row>
    <row r="2" spans="1:11" x14ac:dyDescent="0.25">
      <c r="A2" s="1">
        <v>46266</v>
      </c>
      <c r="B2" t="s">
        <v>5</v>
      </c>
      <c r="C2">
        <v>300</v>
      </c>
      <c r="D2">
        <v>77.599999999999994</v>
      </c>
      <c r="E2">
        <v>60</v>
      </c>
      <c r="F2">
        <f>SUM(C:C)</f>
        <v>3230</v>
      </c>
      <c r="G2">
        <f>SUMIFS(E:E,B:B,"力量训练")</f>
        <v>190</v>
      </c>
      <c r="H2">
        <f>SUMIFS(C:C,B:B,"篮球")</f>
        <v>1420</v>
      </c>
      <c r="I2">
        <f>AVERAGE(D:D)</f>
        <v>76.869999999999976</v>
      </c>
      <c r="J2">
        <f>COUNTIFS(B:B,"篮球")+COUNTIFS(B:B,"爬坡")</f>
        <v>5</v>
      </c>
      <c r="K2">
        <f>D11-D2</f>
        <v>0.70000000000000284</v>
      </c>
    </row>
    <row r="3" spans="1:11" x14ac:dyDescent="0.25">
      <c r="A3" s="1">
        <v>46267</v>
      </c>
      <c r="B3" t="s">
        <v>8</v>
      </c>
      <c r="C3">
        <v>400</v>
      </c>
      <c r="D3">
        <v>77.400000000000006</v>
      </c>
      <c r="E3">
        <v>45</v>
      </c>
    </row>
    <row r="4" spans="1:11" x14ac:dyDescent="0.25">
      <c r="A4" s="1">
        <v>46268</v>
      </c>
      <c r="B4" t="s">
        <v>15</v>
      </c>
      <c r="C4">
        <v>350</v>
      </c>
      <c r="D4">
        <v>76.7</v>
      </c>
      <c r="E4">
        <v>65</v>
      </c>
    </row>
    <row r="5" spans="1:11" x14ac:dyDescent="0.25">
      <c r="A5" s="1">
        <v>46269</v>
      </c>
      <c r="B5" t="s">
        <v>8</v>
      </c>
      <c r="C5">
        <v>500</v>
      </c>
      <c r="D5">
        <v>76.099999999999994</v>
      </c>
      <c r="E5">
        <v>50</v>
      </c>
    </row>
    <row r="6" spans="1:11" x14ac:dyDescent="0.25">
      <c r="A6" s="1">
        <v>46270</v>
      </c>
      <c r="B6" t="s">
        <v>9</v>
      </c>
      <c r="C6">
        <v>0</v>
      </c>
      <c r="D6">
        <v>76</v>
      </c>
      <c r="E6">
        <v>0</v>
      </c>
    </row>
    <row r="7" spans="1:11" x14ac:dyDescent="0.25">
      <c r="A7" s="1">
        <v>46271</v>
      </c>
      <c r="B7" t="s">
        <v>6</v>
      </c>
      <c r="C7">
        <v>0</v>
      </c>
      <c r="D7">
        <v>75.8</v>
      </c>
      <c r="E7">
        <v>0</v>
      </c>
    </row>
    <row r="8" spans="1:11" x14ac:dyDescent="0.25">
      <c r="A8" s="1">
        <v>46272</v>
      </c>
      <c r="B8" t="s">
        <v>5</v>
      </c>
      <c r="C8">
        <v>380</v>
      </c>
      <c r="D8">
        <v>75.2</v>
      </c>
      <c r="E8">
        <v>70</v>
      </c>
    </row>
    <row r="9" spans="1:11" x14ac:dyDescent="0.25">
      <c r="A9" s="1">
        <v>46273</v>
      </c>
      <c r="B9" t="s">
        <v>15</v>
      </c>
      <c r="C9">
        <v>420</v>
      </c>
      <c r="D9">
        <v>77.3</v>
      </c>
      <c r="E9">
        <v>45</v>
      </c>
    </row>
    <row r="10" spans="1:11" x14ac:dyDescent="0.25">
      <c r="A10" s="1">
        <v>46274</v>
      </c>
      <c r="B10" t="s">
        <v>5</v>
      </c>
      <c r="C10">
        <v>360</v>
      </c>
      <c r="D10">
        <v>78.3</v>
      </c>
      <c r="E10">
        <v>60</v>
      </c>
    </row>
    <row r="11" spans="1:11" x14ac:dyDescent="0.25">
      <c r="A11" s="1">
        <v>46275</v>
      </c>
      <c r="B11" t="s">
        <v>8</v>
      </c>
      <c r="C11">
        <v>520</v>
      </c>
      <c r="D11">
        <v>78.3</v>
      </c>
      <c r="E11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2026-09-12T09:42:46Z</dcterms:created>
  <dcterms:modified xsi:type="dcterms:W3CDTF">2026-09-12T11:29:42Z</dcterms:modified>
</cp:coreProperties>
</file>